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iley.armos\projects\Temp_project\report_notebooks\dev_coastal-water-temperature\Seasonality and Trends Publication\"/>
    </mc:Choice>
  </mc:AlternateContent>
  <xr:revisionPtr revIDLastSave="0" documentId="13_ncr:1_{394BED35-4426-40DC-A672-C5FAC5B75CB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tation inventory" sheetId="1" r:id="rId1"/>
    <sheet name="Inventory metadata" sheetId="2" r:id="rId2"/>
    <sheet name="Seasonality" sheetId="3" r:id="rId3"/>
    <sheet name="Seasonality metadata" sheetId="4" r:id="rId4"/>
    <sheet name="Trends" sheetId="5" r:id="rId5"/>
    <sheet name="Trends metadata" sheetId="6" r:id="rId6"/>
    <sheet name="Daily distribution and extremes" sheetId="7" r:id="rId7"/>
    <sheet name="Distributions and extremes me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6" i="1" l="1"/>
  <c r="J96" i="1"/>
  <c r="K96" i="1" s="1"/>
  <c r="N95" i="1"/>
  <c r="J95" i="1"/>
  <c r="K95" i="1" s="1"/>
  <c r="N94" i="1"/>
  <c r="J94" i="1"/>
  <c r="K94" i="1" s="1"/>
  <c r="N93" i="1"/>
  <c r="J93" i="1"/>
  <c r="K93" i="1" s="1"/>
  <c r="N92" i="1"/>
  <c r="J92" i="1"/>
  <c r="K92" i="1" s="1"/>
  <c r="N91" i="1"/>
  <c r="J91" i="1"/>
  <c r="K91" i="1" s="1"/>
  <c r="N90" i="1"/>
  <c r="J90" i="1"/>
  <c r="K90" i="1" s="1"/>
  <c r="N89" i="1"/>
  <c r="J89" i="1"/>
  <c r="K89" i="1" s="1"/>
  <c r="N88" i="1"/>
  <c r="J88" i="1"/>
  <c r="K88" i="1" s="1"/>
  <c r="N87" i="1"/>
  <c r="J87" i="1"/>
  <c r="K87" i="1" s="1"/>
  <c r="N86" i="1"/>
  <c r="K86" i="1"/>
  <c r="J86" i="1"/>
  <c r="N85" i="1"/>
  <c r="J85" i="1"/>
  <c r="K85" i="1" s="1"/>
  <c r="N84" i="1"/>
  <c r="J84" i="1"/>
  <c r="K84" i="1" s="1"/>
  <c r="N83" i="1"/>
  <c r="J83" i="1"/>
  <c r="K83" i="1" s="1"/>
  <c r="N82" i="1"/>
  <c r="J82" i="1"/>
  <c r="K82" i="1" s="1"/>
  <c r="N81" i="1"/>
  <c r="J81" i="1"/>
  <c r="K81" i="1" s="1"/>
  <c r="N80" i="1"/>
  <c r="J80" i="1"/>
  <c r="K80" i="1" s="1"/>
  <c r="N79" i="1"/>
  <c r="J79" i="1"/>
  <c r="K79" i="1" s="1"/>
  <c r="N78" i="1"/>
  <c r="J78" i="1"/>
  <c r="K78" i="1" s="1"/>
  <c r="N77" i="1"/>
  <c r="J77" i="1"/>
  <c r="K77" i="1" s="1"/>
  <c r="N76" i="1"/>
  <c r="J76" i="1"/>
  <c r="K76" i="1" s="1"/>
  <c r="N75" i="1"/>
  <c r="J75" i="1"/>
  <c r="K75" i="1" s="1"/>
  <c r="N74" i="1"/>
  <c r="J74" i="1"/>
  <c r="K74" i="1" s="1"/>
  <c r="N73" i="1"/>
  <c r="J73" i="1"/>
  <c r="K73" i="1" s="1"/>
  <c r="N72" i="1"/>
  <c r="K72" i="1"/>
  <c r="J72" i="1"/>
  <c r="N71" i="1"/>
  <c r="J71" i="1"/>
  <c r="K71" i="1" s="1"/>
  <c r="N70" i="1"/>
  <c r="K70" i="1"/>
  <c r="J70" i="1"/>
  <c r="N69" i="1"/>
  <c r="J69" i="1"/>
  <c r="K69" i="1" s="1"/>
  <c r="N68" i="1"/>
  <c r="K68" i="1"/>
  <c r="J68" i="1"/>
  <c r="N67" i="1"/>
  <c r="J67" i="1"/>
  <c r="K67" i="1" s="1"/>
  <c r="N66" i="1"/>
  <c r="J66" i="1"/>
  <c r="K66" i="1" s="1"/>
  <c r="N65" i="1"/>
  <c r="J65" i="1"/>
  <c r="K65" i="1" s="1"/>
  <c r="N64" i="1"/>
  <c r="J64" i="1"/>
  <c r="K64" i="1" s="1"/>
  <c r="N63" i="1"/>
  <c r="J63" i="1"/>
  <c r="K63" i="1" s="1"/>
  <c r="N62" i="1"/>
  <c r="J62" i="1"/>
  <c r="K62" i="1" s="1"/>
  <c r="N61" i="1"/>
  <c r="J61" i="1"/>
  <c r="K61" i="1" s="1"/>
  <c r="N60" i="1"/>
  <c r="J60" i="1"/>
  <c r="K60" i="1" s="1"/>
  <c r="N59" i="1"/>
  <c r="J59" i="1"/>
  <c r="K59" i="1" s="1"/>
  <c r="N58" i="1"/>
  <c r="J58" i="1"/>
  <c r="K58" i="1" s="1"/>
  <c r="N57" i="1"/>
  <c r="J57" i="1"/>
  <c r="K57" i="1" s="1"/>
  <c r="N56" i="1"/>
  <c r="K56" i="1"/>
  <c r="J56" i="1"/>
  <c r="N55" i="1"/>
  <c r="J55" i="1"/>
  <c r="K55" i="1" s="1"/>
  <c r="N54" i="1"/>
  <c r="K54" i="1"/>
  <c r="J54" i="1"/>
  <c r="N53" i="1"/>
  <c r="J53" i="1"/>
  <c r="K53" i="1" s="1"/>
  <c r="N52" i="1"/>
  <c r="K52" i="1"/>
  <c r="J52" i="1"/>
  <c r="N51" i="1"/>
  <c r="J51" i="1"/>
  <c r="K51" i="1" s="1"/>
  <c r="N50" i="1"/>
  <c r="J50" i="1"/>
  <c r="K50" i="1" s="1"/>
  <c r="N49" i="1"/>
  <c r="J49" i="1"/>
  <c r="K49" i="1" s="1"/>
  <c r="N48" i="1"/>
  <c r="J48" i="1"/>
  <c r="K48" i="1" s="1"/>
  <c r="N47" i="1"/>
  <c r="J47" i="1"/>
  <c r="K47" i="1" s="1"/>
  <c r="N46" i="1"/>
  <c r="J46" i="1"/>
  <c r="K46" i="1" s="1"/>
  <c r="N45" i="1"/>
  <c r="J45" i="1"/>
  <c r="K45" i="1" s="1"/>
  <c r="N44" i="1"/>
  <c r="J44" i="1"/>
  <c r="K44" i="1" s="1"/>
  <c r="N43" i="1"/>
  <c r="J43" i="1"/>
  <c r="K43" i="1" s="1"/>
  <c r="N42" i="1"/>
  <c r="J42" i="1"/>
  <c r="K42" i="1" s="1"/>
  <c r="N41" i="1"/>
  <c r="J41" i="1"/>
  <c r="K41" i="1" s="1"/>
  <c r="N40" i="1"/>
  <c r="K40" i="1"/>
  <c r="J40" i="1"/>
  <c r="N39" i="1"/>
  <c r="J39" i="1"/>
  <c r="K39" i="1" s="1"/>
  <c r="N38" i="1"/>
  <c r="K38" i="1"/>
  <c r="J38" i="1"/>
  <c r="N37" i="1"/>
  <c r="J37" i="1"/>
  <c r="K37" i="1" s="1"/>
  <c r="N36" i="1"/>
  <c r="K36" i="1"/>
  <c r="J36" i="1"/>
  <c r="N35" i="1"/>
  <c r="J35" i="1"/>
  <c r="K35" i="1" s="1"/>
  <c r="N34" i="1"/>
  <c r="J34" i="1"/>
  <c r="K34" i="1" s="1"/>
  <c r="N33" i="1"/>
  <c r="J33" i="1"/>
  <c r="K33" i="1" s="1"/>
  <c r="N32" i="1"/>
  <c r="J32" i="1"/>
  <c r="K32" i="1" s="1"/>
  <c r="N31" i="1"/>
  <c r="J31" i="1"/>
  <c r="K31" i="1" s="1"/>
  <c r="N30" i="1"/>
  <c r="J30" i="1"/>
  <c r="K30" i="1" s="1"/>
  <c r="N29" i="1"/>
  <c r="J29" i="1"/>
  <c r="K29" i="1" s="1"/>
  <c r="N28" i="1"/>
  <c r="J28" i="1"/>
  <c r="K28" i="1" s="1"/>
  <c r="N27" i="1"/>
  <c r="J27" i="1"/>
  <c r="K27" i="1" s="1"/>
  <c r="N26" i="1"/>
  <c r="J26" i="1"/>
  <c r="K26" i="1" s="1"/>
  <c r="N25" i="1"/>
  <c r="J25" i="1"/>
  <c r="K25" i="1" s="1"/>
  <c r="N24" i="1"/>
  <c r="K24" i="1"/>
  <c r="J24" i="1"/>
  <c r="N23" i="1"/>
  <c r="J23" i="1"/>
  <c r="K23" i="1" s="1"/>
  <c r="N22" i="1"/>
  <c r="K22" i="1"/>
  <c r="J22" i="1"/>
  <c r="N21" i="1"/>
  <c r="J21" i="1"/>
  <c r="K21" i="1" s="1"/>
  <c r="N20" i="1"/>
  <c r="K20" i="1"/>
  <c r="J20" i="1"/>
  <c r="N19" i="1"/>
  <c r="J19" i="1"/>
  <c r="K19" i="1" s="1"/>
  <c r="N18" i="1"/>
  <c r="J18" i="1"/>
  <c r="K18" i="1" s="1"/>
  <c r="N17" i="1"/>
  <c r="J17" i="1"/>
  <c r="K17" i="1" s="1"/>
  <c r="N16" i="1"/>
  <c r="J16" i="1"/>
  <c r="K16" i="1" s="1"/>
  <c r="N15" i="1"/>
  <c r="J15" i="1"/>
  <c r="K15" i="1" s="1"/>
  <c r="N14" i="1"/>
  <c r="J14" i="1"/>
  <c r="K14" i="1" s="1"/>
  <c r="N13" i="1"/>
  <c r="J13" i="1"/>
  <c r="K13" i="1" s="1"/>
  <c r="N12" i="1"/>
  <c r="J12" i="1"/>
  <c r="K12" i="1" s="1"/>
  <c r="N11" i="1"/>
  <c r="J11" i="1"/>
  <c r="K11" i="1" s="1"/>
  <c r="N10" i="1"/>
  <c r="J10" i="1"/>
  <c r="K10" i="1" s="1"/>
  <c r="N9" i="1"/>
  <c r="J9" i="1"/>
  <c r="K9" i="1" s="1"/>
  <c r="N8" i="1"/>
  <c r="K8" i="1"/>
  <c r="J8" i="1"/>
  <c r="N7" i="1"/>
  <c r="J7" i="1"/>
  <c r="K7" i="1" s="1"/>
  <c r="N6" i="1"/>
  <c r="K6" i="1"/>
  <c r="J6" i="1"/>
  <c r="N5" i="1"/>
  <c r="K5" i="1"/>
  <c r="J5" i="1"/>
  <c r="N4" i="1"/>
  <c r="J4" i="1"/>
  <c r="K4" i="1" s="1"/>
  <c r="N3" i="1"/>
  <c r="J3" i="1"/>
  <c r="K3" i="1" s="1"/>
  <c r="N2" i="1"/>
  <c r="K2" i="1"/>
  <c r="J2" i="1"/>
</calcChain>
</file>

<file path=xl/sharedStrings.xml><?xml version="1.0" encoding="utf-8"?>
<sst xmlns="http://schemas.openxmlformats.org/spreadsheetml/2006/main" count="1393" uniqueCount="274">
  <si>
    <t>geoorder</t>
  </si>
  <si>
    <t>station_id</t>
  </si>
  <si>
    <t>station_name</t>
  </si>
  <si>
    <t>state</t>
  </si>
  <si>
    <t>deploy_date</t>
  </si>
  <si>
    <t>end_date</t>
  </si>
  <si>
    <t>lat</t>
  </si>
  <si>
    <t>lon</t>
  </si>
  <si>
    <t>region</t>
  </si>
  <si>
    <t>POR (days)</t>
  </si>
  <si>
    <t>POR (years)</t>
  </si>
  <si>
    <t>WT_completeness_percent</t>
  </si>
  <si>
    <t>WT_valid_days</t>
  </si>
  <si>
    <t>WT_valid_years</t>
  </si>
  <si>
    <t>AT_start_date</t>
  </si>
  <si>
    <t>AT_end_date</t>
  </si>
  <si>
    <t>AT_completeness_percent</t>
  </si>
  <si>
    <t>AT_valid_days</t>
  </si>
  <si>
    <t>Eastport, ME</t>
  </si>
  <si>
    <t>ME</t>
  </si>
  <si>
    <t>Northeast</t>
  </si>
  <si>
    <t>Bar Harbor, ME</t>
  </si>
  <si>
    <t>Portland, ME</t>
  </si>
  <si>
    <t>Nantucket Island, MA</t>
  </si>
  <si>
    <t>MA</t>
  </si>
  <si>
    <t>Woods Hole, MA</t>
  </si>
  <si>
    <t>Providence, RI</t>
  </si>
  <si>
    <t>RI</t>
  </si>
  <si>
    <t>Conimicut Light, RI</t>
  </si>
  <si>
    <t>Fall River, MA</t>
  </si>
  <si>
    <t>Quonset Point, RI</t>
  </si>
  <si>
    <t>Newport, RI</t>
  </si>
  <si>
    <t>New London, CT</t>
  </si>
  <si>
    <t>CT</t>
  </si>
  <si>
    <t>New Haven, CT</t>
  </si>
  <si>
    <t>Kings Point, NY</t>
  </si>
  <si>
    <t>NY</t>
  </si>
  <si>
    <t>Bergen Point West Reach, NY</t>
  </si>
  <si>
    <t>Sandy Hook, NJ</t>
  </si>
  <si>
    <t>NJ</t>
  </si>
  <si>
    <t>Atlantic City, NJ</t>
  </si>
  <si>
    <t>Newbold, PA</t>
  </si>
  <si>
    <t>PA</t>
  </si>
  <si>
    <t>Burlington - Delaware River, NJ</t>
  </si>
  <si>
    <t>Philadelphia, PA</t>
  </si>
  <si>
    <t>Reedy Point, DE</t>
  </si>
  <si>
    <t>DE</t>
  </si>
  <si>
    <t>Cape May, NJ</t>
  </si>
  <si>
    <t>Lewes, DE</t>
  </si>
  <si>
    <t>Chesapeake City, MD</t>
  </si>
  <si>
    <t>MD</t>
  </si>
  <si>
    <t>Baltimore, MD</t>
  </si>
  <si>
    <t>Tolchester Beach, MD</t>
  </si>
  <si>
    <t>Washington, DC</t>
  </si>
  <si>
    <t>DC</t>
  </si>
  <si>
    <t>Solomons Island, MD</t>
  </si>
  <si>
    <t>Lewisetta, VA</t>
  </si>
  <si>
    <t>VA</t>
  </si>
  <si>
    <t>Kiptopeke, VA</t>
  </si>
  <si>
    <t>Yorktown USCG Training Center, VA</t>
  </si>
  <si>
    <t>Chesapeake Bay Bridge Tunnel, VA</t>
  </si>
  <si>
    <t>Wachapreague, VA</t>
  </si>
  <si>
    <t>Duck Pier, NC</t>
  </si>
  <si>
    <t>NC</t>
  </si>
  <si>
    <t>Southeast</t>
  </si>
  <si>
    <t>Oregon Inlet Marina, NC</t>
  </si>
  <si>
    <t>Wilmington, NC</t>
  </si>
  <si>
    <t>Charleston, SC</t>
  </si>
  <si>
    <t>SC</t>
  </si>
  <si>
    <t>Trident Pier - Cape Canaveral, FL</t>
  </si>
  <si>
    <t>FL</t>
  </si>
  <si>
    <t>Vaca Key, FL</t>
  </si>
  <si>
    <t>Key West, FL</t>
  </si>
  <si>
    <t>Fort Myers, FL</t>
  </si>
  <si>
    <t>East Gulf</t>
  </si>
  <si>
    <t>Clearwater Beach, FL</t>
  </si>
  <si>
    <t>Apalachiola, FL</t>
  </si>
  <si>
    <t>Panama City, FL</t>
  </si>
  <si>
    <t>Panama City Beach, FL</t>
  </si>
  <si>
    <t>Pensacola, FL</t>
  </si>
  <si>
    <t>West Bank 1 - Bayou Gauche, LA</t>
  </si>
  <si>
    <t>LA</t>
  </si>
  <si>
    <t>West Gulf</t>
  </si>
  <si>
    <t>Grand Isle, LA</t>
  </si>
  <si>
    <t>Calcasieu Pass, LA</t>
  </si>
  <si>
    <t>Port Arthur - Sabine Naches Canal, TX</t>
  </si>
  <si>
    <t>TX</t>
  </si>
  <si>
    <t>Sabine Pass, TX</t>
  </si>
  <si>
    <t>Rollover Pass, TX</t>
  </si>
  <si>
    <t>Galveston Bay Entrance, TX</t>
  </si>
  <si>
    <t>Galveston Pier 21, TX</t>
  </si>
  <si>
    <t>Corpus Christi - Bob Hall Pier, TX</t>
  </si>
  <si>
    <t>Baffin Bay, TX</t>
  </si>
  <si>
    <t>San Juan Bay, PR</t>
  </si>
  <si>
    <t>PR</t>
  </si>
  <si>
    <t>Caribbean</t>
  </si>
  <si>
    <t>Lime Tree Bay - St. Croix, VI</t>
  </si>
  <si>
    <t>VI</t>
  </si>
  <si>
    <t>DeTour Village, MI</t>
  </si>
  <si>
    <t>MI</t>
  </si>
  <si>
    <t>Great Lakes</t>
  </si>
  <si>
    <t>Harbor Beach, MI</t>
  </si>
  <si>
    <t>Marblehead, OH</t>
  </si>
  <si>
    <t>OH</t>
  </si>
  <si>
    <t>Cleveland, OH</t>
  </si>
  <si>
    <t>Buffalo, NY</t>
  </si>
  <si>
    <t>Sand Point, AK</t>
  </si>
  <si>
    <t>AK</t>
  </si>
  <si>
    <t>Alaska</t>
  </si>
  <si>
    <t>Anchorage, AK</t>
  </si>
  <si>
    <t>Seldovia, AK</t>
  </si>
  <si>
    <t>Valdez, AK</t>
  </si>
  <si>
    <t>Seward, AK</t>
  </si>
  <si>
    <t>Yakutat Bay, AK</t>
  </si>
  <si>
    <t>Juneau, AK</t>
  </si>
  <si>
    <t>Sitka, AK</t>
  </si>
  <si>
    <t>Ketchikan, AK</t>
  </si>
  <si>
    <t>Friday Harbor, WA</t>
  </si>
  <si>
    <t>WA</t>
  </si>
  <si>
    <t>Northwest</t>
  </si>
  <si>
    <t>Port Angeles, WA</t>
  </si>
  <si>
    <t>Port Townsend, WA</t>
  </si>
  <si>
    <t>Seattle, WA</t>
  </si>
  <si>
    <t>Tacoma, WA</t>
  </si>
  <si>
    <t>Toke Point, WA</t>
  </si>
  <si>
    <t>South Beach - Yaquina River, OR</t>
  </si>
  <si>
    <t>OR</t>
  </si>
  <si>
    <t>Charleston - Coos Bay, OR</t>
  </si>
  <si>
    <t>Port Orford, OR</t>
  </si>
  <si>
    <t>Crescent City, CA</t>
  </si>
  <si>
    <t>CA</t>
  </si>
  <si>
    <t>North Spit, CA</t>
  </si>
  <si>
    <t>Arena Cove, CA</t>
  </si>
  <si>
    <t>Port Chicago, CA</t>
  </si>
  <si>
    <t>Southwest</t>
  </si>
  <si>
    <t>Richmond, CA</t>
  </si>
  <si>
    <t>Alameda, CA</t>
  </si>
  <si>
    <t>San Francisco, CA</t>
  </si>
  <si>
    <t>Port San Luis, CA</t>
  </si>
  <si>
    <t>Los Angeles - Outer Harbor, CA</t>
  </si>
  <si>
    <t>La Jolla, CA</t>
  </si>
  <si>
    <t>Kawaihae, HI</t>
  </si>
  <si>
    <t>HI</t>
  </si>
  <si>
    <t>Pacific Islands</t>
  </si>
  <si>
    <t>Kahului, HI</t>
  </si>
  <si>
    <t>Mokuoloe, HI</t>
  </si>
  <si>
    <t>Sand Island, Midway</t>
  </si>
  <si>
    <t>Sand</t>
  </si>
  <si>
    <t>Wake Island</t>
  </si>
  <si>
    <t>Wake</t>
  </si>
  <si>
    <t>Column name</t>
  </si>
  <si>
    <t>Description</t>
  </si>
  <si>
    <t>Station order in graphics</t>
  </si>
  <si>
    <t>CO-OPS station ID</t>
  </si>
  <si>
    <t>CO-OPS station name</t>
  </si>
  <si>
    <t>State of station location</t>
  </si>
  <si>
    <t>Date of start of water temperature data record</t>
  </si>
  <si>
    <t>Date of end of water temperature data record</t>
  </si>
  <si>
    <t>Latitude of station location</t>
  </si>
  <si>
    <t>Longitude of station location</t>
  </si>
  <si>
    <t>Geographic region of station location</t>
  </si>
  <si>
    <t>Length of station's water temperature period of record in days</t>
  </si>
  <si>
    <t>Length of station's water temperature period of record in years</t>
  </si>
  <si>
    <t>Percent of days with at least 50% of accepted hourly water temperature observations</t>
  </si>
  <si>
    <t>Number of days with at least 50% of accepted hourly water temperature observations</t>
  </si>
  <si>
    <t>Fractional number of years with at least 50% of accepted hourly water temperature observations</t>
  </si>
  <si>
    <t>Date of start of air temperature data record</t>
  </si>
  <si>
    <t>Date of end of air temperature data record</t>
  </si>
  <si>
    <t>Percent of days with at least 50% of accepted hourly air temperature observations</t>
  </si>
  <si>
    <t>Number of days with at least 50% of accepted hourly air  temperature observations</t>
  </si>
  <si>
    <t>AT_valid_years</t>
  </si>
  <si>
    <t>Fractional number of years with at least 50% of accepted hourly air temperature observations</t>
  </si>
  <si>
    <t>MSL_start_date</t>
  </si>
  <si>
    <t>Date of start of monthly mean sea level data record</t>
  </si>
  <si>
    <t>MSL_end_date</t>
  </si>
  <si>
    <t>Date of end of monthly mean sea level data record</t>
  </si>
  <si>
    <t>MSL_POR_years</t>
  </si>
  <si>
    <t>Length of monthly mean sea level data record in years</t>
  </si>
  <si>
    <t>MSL_completeness_percent</t>
  </si>
  <si>
    <t>Percent of months of accepted monthly mean sea level data over station's period of record</t>
  </si>
  <si>
    <t>MSL_valid_months</t>
  </si>
  <si>
    <t>Number of months of accepted monthly mean sea level data over station's period of record</t>
  </si>
  <si>
    <t>MSL_valid_years</t>
  </si>
  <si>
    <t>Fractional number of years of accepted monthly mean sea level data over station's period of record</t>
  </si>
  <si>
    <t>wt_annual_range</t>
  </si>
  <si>
    <t>at_annual_range</t>
  </si>
  <si>
    <t>annual_range_diff</t>
  </si>
  <si>
    <t>wt_clim_peak_mag</t>
  </si>
  <si>
    <t>wt_clim_peak_day</t>
  </si>
  <si>
    <t>wt_clim_peak_mag_lowess</t>
  </si>
  <si>
    <t>wt_clim_peak_day_lowess</t>
  </si>
  <si>
    <t>at_clim_peak_mag</t>
  </si>
  <si>
    <t>at_clim_peak_day</t>
  </si>
  <si>
    <t>lag_peak_wt_at</t>
  </si>
  <si>
    <t>lag_shift_corr_wt_at</t>
  </si>
  <si>
    <t>wt_peak_month</t>
  </si>
  <si>
    <t>msl_peak_month</t>
  </si>
  <si>
    <t>Mean annual range in water temperature (degrees C)</t>
  </si>
  <si>
    <t>Mean annual range in air temperature at same CO-OPS station (degrees C)</t>
  </si>
  <si>
    <t>Difference between water and air temperature mean annual ranges</t>
  </si>
  <si>
    <t>Maximum value of daily mean water temperature climatology</t>
  </si>
  <si>
    <t>Day of year of occurrence of maximum value of daily mean water temperature climatology</t>
  </si>
  <si>
    <t>Maximum value of daily mean water temperature climatology after LOWESS smoothing applied</t>
  </si>
  <si>
    <t>Day of year of occurrence of maximum value of daily mean water temperature climatology after LOWESS smoothing applied</t>
  </si>
  <si>
    <t>Maximum value of daily mean air temperature climatology</t>
  </si>
  <si>
    <t>Day of year of occurrence of maximum value of daily mean air temperature climatology</t>
  </si>
  <si>
    <t>Lag in days with maximum correlation between water and air temperature daily climatology</t>
  </si>
  <si>
    <t>Maximum correlation between water and air temperature daily climatology</t>
  </si>
  <si>
    <t>Month of highest water temperature climatological mean</t>
  </si>
  <si>
    <t>Month of highest mean sea level climatological mean</t>
  </si>
  <si>
    <t>peak_month_diff_wt_msl</t>
  </si>
  <si>
    <t>Difference between peaks months of mean water temperature and mean sea level</t>
  </si>
  <si>
    <t>wt_trend</t>
  </si>
  <si>
    <t>wt_trend_pval</t>
  </si>
  <si>
    <t>wt_trend_se</t>
  </si>
  <si>
    <t>wt_trend_ci</t>
  </si>
  <si>
    <t>msl_trend</t>
  </si>
  <si>
    <t>annrange_trend</t>
  </si>
  <si>
    <t>annrange_pval</t>
  </si>
  <si>
    <t>annrange_se</t>
  </si>
  <si>
    <t>annmin_trend</t>
  </si>
  <si>
    <t>annmin_pval</t>
  </si>
  <si>
    <t>annmin_se</t>
  </si>
  <si>
    <t>annmax_trend</t>
  </si>
  <si>
    <t>annmax_pval</t>
  </si>
  <si>
    <t>annmax_se</t>
  </si>
  <si>
    <t>Station order on graphics in paper</t>
  </si>
  <si>
    <t>Annual linear rate of change in water temperature over the station's period of record. (degrees C per year)</t>
  </si>
  <si>
    <t>P-value associates with linear trend rate</t>
  </si>
  <si>
    <t>Standard error of the linear trend rate (degrees C)</t>
  </si>
  <si>
    <t>90% confidence interval of the trend rate (degrees C)</t>
  </si>
  <si>
    <t>Linear trend rate of mean sea level at the same CO-OPS station (mm per year)</t>
  </si>
  <si>
    <t>Linear trend rate of WT annual range (degrees C)</t>
  </si>
  <si>
    <t>P-value of linear trend rate of WT annual range (degrees C)</t>
  </si>
  <si>
    <t>Standard error of linear trend rate of WT annual range (degrees C)</t>
  </si>
  <si>
    <t>Linear trend rate of WT annual minimum (degrees C)</t>
  </si>
  <si>
    <t>P-value of linear trend rate of WT annual minimum (degrees C)</t>
  </si>
  <si>
    <t>Standard error of linear trend rate of WT annual minimum (degrees C)</t>
  </si>
  <si>
    <t>Linear trend rate of WT annual maximum (degrees C)</t>
  </si>
  <si>
    <t>P-value of linear trend rate of WT annual maximum (degrees C)</t>
  </si>
  <si>
    <t>Standard error of linear trend rate of WT annual maximum (degrees C)</t>
  </si>
  <si>
    <t>mean_obs</t>
  </si>
  <si>
    <t>median_obs</t>
  </si>
  <si>
    <t>variance_obs</t>
  </si>
  <si>
    <t>skewness_obs</t>
  </si>
  <si>
    <t>kurtosis_obs</t>
  </si>
  <si>
    <t>wt90th</t>
  </si>
  <si>
    <t>wt95th</t>
  </si>
  <si>
    <t>wt99th</t>
  </si>
  <si>
    <t>mean_anom</t>
  </si>
  <si>
    <t>median_anom</t>
  </si>
  <si>
    <t>variance_anom</t>
  </si>
  <si>
    <t>skewness_anom</t>
  </si>
  <si>
    <t>kurtosis_anom</t>
  </si>
  <si>
    <t>anom90th</t>
  </si>
  <si>
    <t>anom95th</t>
  </si>
  <si>
    <t>anom99th</t>
  </si>
  <si>
    <t>Mean of daily mean water temperature over station's period of record</t>
  </si>
  <si>
    <t>Median of daily mean water temperature over station's period of record</t>
  </si>
  <si>
    <t>Variance of daily mean water temperature over station's period of record</t>
  </si>
  <si>
    <t>Skewness of daily mean water temperature over station's period of record</t>
  </si>
  <si>
    <t>Kurtosis of daily mean water temperature over station's period of record</t>
  </si>
  <si>
    <t>90th percentile daily mean water temperature based on KDE smoothed distribution</t>
  </si>
  <si>
    <t>95th percentile daily mean water temperature based on KDE smoothed distribution</t>
  </si>
  <si>
    <t>99th percentile daily mean water temperature based on KDE smoothed distribution</t>
  </si>
  <si>
    <t>Mean of daily mean water temperature anomalies (daily mean minus monthly climatology) over station's period of record</t>
  </si>
  <si>
    <t>Median of daily mean water temperature anomalies (daily mean minus monthly climatology) over station's period of record</t>
  </si>
  <si>
    <t>Variance of daily mean water temperature anomalies (daily mean minus monthly climatology) over station's period of record</t>
  </si>
  <si>
    <t>Skewness of daily mean water temperature anomalies (daily mean minus monthly climatology) over station's period of record</t>
  </si>
  <si>
    <t>Kurtosis of daily mean water temperature anomalies (daily mean minus monthly climatology) over station's period of record</t>
  </si>
  <si>
    <t>90th percentile daily mean water temperature anomaly based on KDE smoothed distribution</t>
  </si>
  <si>
    <t>95th percentile daily mean water temperature anomaly based on KDE smoothed distribution</t>
  </si>
  <si>
    <t>99th percentile daily mean water temperature anomaly based on KDE smoothed distribution</t>
  </si>
  <si>
    <t>Peak diff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</si>
</sst>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yyyy\-mm\-dd"/>
    <numFmt numFmtId="166" formatCode="#,##0.0000"/>
  </numFmts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sz val="10"/>
      <color theme="1"/>
      <name val="Calibri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4" fontId="1" fillId="0" borderId="0" xfId="0" applyNumberFormat="1" applyFont="1" applyAlignment="1"/>
    <xf numFmtId="0" fontId="2" fillId="2" borderId="0" xfId="0" applyFont="1" applyFill="1" applyAlignment="1">
      <alignment horizontal="right"/>
    </xf>
    <xf numFmtId="0" fontId="2" fillId="2" borderId="0" xfId="0" applyFont="1" applyFill="1" applyAlignment="1"/>
    <xf numFmtId="14" fontId="2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/>
    <xf numFmtId="14" fontId="2" fillId="3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0" xfId="0" applyFont="1" applyFill="1" applyAlignment="1"/>
    <xf numFmtId="14" fontId="2" fillId="4" borderId="0" xfId="0" applyNumberFormat="1" applyFont="1" applyFill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4" fontId="2" fillId="0" borderId="0" xfId="0" applyNumberFormat="1" applyFont="1" applyAlignment="1"/>
    <xf numFmtId="164" fontId="4" fillId="0" borderId="0" xfId="0" applyNumberFormat="1" applyFont="1" applyAlignment="1"/>
    <xf numFmtId="4" fontId="4" fillId="0" borderId="0" xfId="0" applyNumberFormat="1" applyFont="1" applyAlignment="1"/>
    <xf numFmtId="164" fontId="3" fillId="0" borderId="0" xfId="0" applyNumberFormat="1" applyFont="1" applyAlignment="1"/>
    <xf numFmtId="165" fontId="3" fillId="0" borderId="0" xfId="0" applyNumberFormat="1" applyFont="1" applyAlignment="1"/>
    <xf numFmtId="0" fontId="6" fillId="0" borderId="0" xfId="0" applyFont="1" applyAlignment="1"/>
    <xf numFmtId="166" fontId="4" fillId="0" borderId="0" xfId="0" applyNumberFormat="1" applyFont="1" applyAlignment="1"/>
    <xf numFmtId="166" fontId="2" fillId="0" borderId="0" xfId="0" applyNumberFormat="1" applyFont="1" applyAlignment="1">
      <alignment horizontal="right"/>
    </xf>
    <xf numFmtId="166" fontId="2" fillId="0" borderId="0" xfId="0" applyNumberFormat="1" applyFont="1" applyAlignment="1"/>
    <xf numFmtId="0" fontId="4" fillId="5" borderId="0" xfId="0" applyFont="1" applyFill="1" applyAlignment="1"/>
    <xf numFmtId="4" fontId="4" fillId="5" borderId="1" xfId="0" applyNumberFormat="1" applyFont="1" applyFill="1" applyBorder="1" applyAlignment="1"/>
    <xf numFmtId="4" fontId="4" fillId="5" borderId="0" xfId="0" applyNumberFormat="1" applyFont="1" applyFill="1" applyAlignment="1"/>
    <xf numFmtId="0" fontId="2" fillId="5" borderId="0" xfId="0" applyFont="1" applyFill="1" applyAlignment="1">
      <alignment horizontal="right"/>
    </xf>
    <xf numFmtId="4" fontId="2" fillId="5" borderId="1" xfId="0" applyNumberFormat="1" applyFont="1" applyFill="1" applyBorder="1" applyAlignment="1">
      <alignment horizontal="right"/>
    </xf>
    <xf numFmtId="4" fontId="2" fillId="5" borderId="0" xfId="0" applyNumberFormat="1" applyFont="1" applyFill="1" applyAlignment="1">
      <alignment horizontal="right"/>
    </xf>
    <xf numFmtId="0" fontId="2" fillId="5" borderId="0" xfId="0" applyFont="1" applyFill="1" applyAlignment="1"/>
    <xf numFmtId="4" fontId="2" fillId="5" borderId="1" xfId="0" applyNumberFormat="1" applyFont="1" applyFill="1" applyBorder="1" applyAlignment="1"/>
    <xf numFmtId="4" fontId="2" fillId="5" borderId="0" xfId="0" applyNumberFormat="1" applyFont="1" applyFill="1" applyAlignment="1"/>
    <xf numFmtId="0" fontId="0" fillId="0" borderId="0" xfId="0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6"/>
  <sheetViews>
    <sheetView workbookViewId="0"/>
  </sheetViews>
  <sheetFormatPr defaultColWidth="12.5703125" defaultRowHeight="15.75" customHeight="1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75" customHeight="1" x14ac:dyDescent="0.25">
      <c r="A2" s="4">
        <v>1</v>
      </c>
      <c r="B2" s="4">
        <v>8410140</v>
      </c>
      <c r="C2" s="5" t="s">
        <v>18</v>
      </c>
      <c r="D2" s="5" t="s">
        <v>19</v>
      </c>
      <c r="E2" s="6">
        <v>35006</v>
      </c>
      <c r="F2" s="6">
        <v>45291</v>
      </c>
      <c r="G2" s="4">
        <v>44.904600000000002</v>
      </c>
      <c r="H2" s="4">
        <v>-66.982900000000001</v>
      </c>
      <c r="I2" s="5" t="s">
        <v>20</v>
      </c>
      <c r="J2" s="7" t="e">
        <f t="shared" ref="J2:J96" ca="1" si="0">_xludf.DAYS(F2,E2)</f>
        <v>#NAME?</v>
      </c>
      <c r="K2" s="8" t="e">
        <f t="shared" ref="K2:K96" ca="1" si="1">J2/365.25</f>
        <v>#NAME?</v>
      </c>
      <c r="L2" s="7">
        <v>91.15</v>
      </c>
      <c r="M2" s="7">
        <v>9376</v>
      </c>
      <c r="N2" s="9">
        <f t="shared" ref="N2:N96" si="2">M2/365.25</f>
        <v>25.670088980150581</v>
      </c>
      <c r="O2" s="10">
        <v>33604</v>
      </c>
      <c r="P2" s="10">
        <v>44926</v>
      </c>
      <c r="Q2" s="7">
        <v>92.02</v>
      </c>
      <c r="R2" s="7">
        <v>10419</v>
      </c>
    </row>
    <row r="3" spans="1:18" ht="15.75" customHeight="1" x14ac:dyDescent="0.25">
      <c r="A3" s="4">
        <v>2</v>
      </c>
      <c r="B3" s="4">
        <v>8413320</v>
      </c>
      <c r="C3" s="5" t="s">
        <v>21</v>
      </c>
      <c r="D3" s="5" t="s">
        <v>19</v>
      </c>
      <c r="E3" s="6">
        <v>36321</v>
      </c>
      <c r="F3" s="6">
        <v>45291</v>
      </c>
      <c r="G3" s="4">
        <v>44.392189999999999</v>
      </c>
      <c r="H3" s="4">
        <v>-68.204300000000003</v>
      </c>
      <c r="I3" s="5" t="s">
        <v>20</v>
      </c>
      <c r="J3" s="7" t="e">
        <f t="shared" ca="1" si="0"/>
        <v>#NAME?</v>
      </c>
      <c r="K3" s="8" t="e">
        <f t="shared" ca="1" si="1"/>
        <v>#NAME?</v>
      </c>
      <c r="L3" s="7">
        <v>83.43</v>
      </c>
      <c r="M3" s="7">
        <v>7475</v>
      </c>
      <c r="N3" s="9">
        <f t="shared" si="2"/>
        <v>20.465434633812457</v>
      </c>
      <c r="O3" s="10">
        <v>39673</v>
      </c>
      <c r="P3" s="10">
        <v>44926</v>
      </c>
      <c r="Q3" s="7">
        <v>95.74</v>
      </c>
      <c r="R3" s="7">
        <v>5030</v>
      </c>
    </row>
    <row r="4" spans="1:18" ht="15.75" customHeight="1" x14ac:dyDescent="0.25">
      <c r="A4" s="4">
        <v>3</v>
      </c>
      <c r="B4" s="4">
        <v>8418150</v>
      </c>
      <c r="C4" s="5" t="s">
        <v>22</v>
      </c>
      <c r="D4" s="5" t="s">
        <v>19</v>
      </c>
      <c r="E4" s="6">
        <v>35697</v>
      </c>
      <c r="F4" s="6">
        <v>45291</v>
      </c>
      <c r="G4" s="4">
        <v>43.658059999999999</v>
      </c>
      <c r="H4" s="4">
        <v>-70.244200000000006</v>
      </c>
      <c r="I4" s="5" t="s">
        <v>20</v>
      </c>
      <c r="J4" s="7" t="e">
        <f t="shared" ca="1" si="0"/>
        <v>#NAME?</v>
      </c>
      <c r="K4" s="8" t="e">
        <f t="shared" ca="1" si="1"/>
        <v>#NAME?</v>
      </c>
      <c r="L4" s="7">
        <v>80.69</v>
      </c>
      <c r="M4" s="7">
        <v>7742</v>
      </c>
      <c r="N4" s="9">
        <f t="shared" si="2"/>
        <v>21.196440793976727</v>
      </c>
      <c r="O4" s="10">
        <v>40078</v>
      </c>
      <c r="P4" s="10">
        <v>44926</v>
      </c>
      <c r="Q4" s="7">
        <v>98.49</v>
      </c>
      <c r="R4" s="7">
        <v>4776</v>
      </c>
    </row>
    <row r="5" spans="1:18" ht="15.75" customHeight="1" x14ac:dyDescent="0.25">
      <c r="A5" s="4">
        <v>4</v>
      </c>
      <c r="B5" s="4">
        <v>8449130</v>
      </c>
      <c r="C5" s="5" t="s">
        <v>23</v>
      </c>
      <c r="D5" s="5" t="s">
        <v>24</v>
      </c>
      <c r="E5" s="6">
        <v>35971</v>
      </c>
      <c r="F5" s="6">
        <v>45291</v>
      </c>
      <c r="G5" s="4">
        <v>41.284999999999997</v>
      </c>
      <c r="H5" s="4">
        <v>-70.096699999999998</v>
      </c>
      <c r="I5" s="5" t="s">
        <v>20</v>
      </c>
      <c r="J5" s="7" t="e">
        <f t="shared" ca="1" si="0"/>
        <v>#NAME?</v>
      </c>
      <c r="K5" s="8" t="e">
        <f t="shared" ca="1" si="1"/>
        <v>#NAME?</v>
      </c>
      <c r="L5" s="7">
        <v>90.34</v>
      </c>
      <c r="M5" s="7">
        <v>8419</v>
      </c>
      <c r="N5" s="9">
        <f t="shared" si="2"/>
        <v>23.049965776865161</v>
      </c>
      <c r="O5" s="10">
        <v>39758</v>
      </c>
      <c r="P5" s="10">
        <v>44926</v>
      </c>
      <c r="Q5" s="7">
        <v>96.09</v>
      </c>
      <c r="R5" s="7">
        <v>4967</v>
      </c>
    </row>
    <row r="6" spans="1:18" ht="15.75" customHeight="1" x14ac:dyDescent="0.25">
      <c r="A6" s="4">
        <v>5</v>
      </c>
      <c r="B6" s="4">
        <v>8447930</v>
      </c>
      <c r="C6" s="5" t="s">
        <v>25</v>
      </c>
      <c r="D6" s="5" t="s">
        <v>24</v>
      </c>
      <c r="E6" s="6">
        <v>34936</v>
      </c>
      <c r="F6" s="6">
        <v>45291</v>
      </c>
      <c r="G6" s="4">
        <v>41.523609999999998</v>
      </c>
      <c r="H6" s="4">
        <v>-70.671099999999996</v>
      </c>
      <c r="I6" s="5" t="s">
        <v>20</v>
      </c>
      <c r="J6" s="7" t="e">
        <f t="shared" ca="1" si="0"/>
        <v>#NAME?</v>
      </c>
      <c r="K6" s="8" t="e">
        <f t="shared" ca="1" si="1"/>
        <v>#NAME?</v>
      </c>
      <c r="L6" s="7">
        <v>96.81</v>
      </c>
      <c r="M6" s="7">
        <v>10026</v>
      </c>
      <c r="N6" s="9">
        <f t="shared" si="2"/>
        <v>27.449691991786448</v>
      </c>
      <c r="O6" s="10">
        <v>39931</v>
      </c>
      <c r="P6" s="10">
        <v>44926</v>
      </c>
      <c r="Q6" s="7">
        <v>97.72</v>
      </c>
      <c r="R6" s="7">
        <v>4882</v>
      </c>
    </row>
    <row r="7" spans="1:18" ht="15.75" customHeight="1" x14ac:dyDescent="0.25">
      <c r="A7" s="4">
        <v>6</v>
      </c>
      <c r="B7" s="4">
        <v>8454000</v>
      </c>
      <c r="C7" s="5" t="s">
        <v>26</v>
      </c>
      <c r="D7" s="5" t="s">
        <v>27</v>
      </c>
      <c r="E7" s="6">
        <v>34963</v>
      </c>
      <c r="F7" s="6">
        <v>45291</v>
      </c>
      <c r="G7" s="4">
        <v>41.807169999999999</v>
      </c>
      <c r="H7" s="4">
        <v>-71.400700000000001</v>
      </c>
      <c r="I7" s="5" t="s">
        <v>20</v>
      </c>
      <c r="J7" s="7" t="e">
        <f t="shared" ca="1" si="0"/>
        <v>#NAME?</v>
      </c>
      <c r="K7" s="8" t="e">
        <f t="shared" ca="1" si="1"/>
        <v>#NAME?</v>
      </c>
      <c r="L7" s="7">
        <v>95.3</v>
      </c>
      <c r="M7" s="7">
        <v>9840</v>
      </c>
      <c r="N7" s="9">
        <f t="shared" si="2"/>
        <v>26.940451745379878</v>
      </c>
      <c r="O7" s="10">
        <v>36425</v>
      </c>
      <c r="P7" s="10">
        <v>44926</v>
      </c>
      <c r="Q7" s="7">
        <v>96.59</v>
      </c>
      <c r="R7" s="7">
        <v>8212</v>
      </c>
    </row>
    <row r="8" spans="1:18" ht="15.75" customHeight="1" x14ac:dyDescent="0.25">
      <c r="A8" s="4">
        <v>7</v>
      </c>
      <c r="B8" s="4">
        <v>8452944</v>
      </c>
      <c r="C8" s="5" t="s">
        <v>28</v>
      </c>
      <c r="D8" s="5" t="s">
        <v>27</v>
      </c>
      <c r="E8" s="6">
        <v>36431</v>
      </c>
      <c r="F8" s="6">
        <v>45291</v>
      </c>
      <c r="G8" s="4">
        <v>41.717109999999998</v>
      </c>
      <c r="H8" s="4">
        <v>-71.345200000000006</v>
      </c>
      <c r="I8" s="5" t="s">
        <v>20</v>
      </c>
      <c r="J8" s="7" t="e">
        <f t="shared" ca="1" si="0"/>
        <v>#NAME?</v>
      </c>
      <c r="K8" s="8" t="e">
        <f t="shared" ca="1" si="1"/>
        <v>#NAME?</v>
      </c>
      <c r="L8" s="7">
        <v>97.05</v>
      </c>
      <c r="M8" s="7">
        <v>8581</v>
      </c>
      <c r="N8" s="9">
        <f t="shared" si="2"/>
        <v>23.493497604380561</v>
      </c>
      <c r="O8" s="10">
        <v>36450</v>
      </c>
      <c r="P8" s="10">
        <v>44926</v>
      </c>
      <c r="Q8" s="7">
        <v>92.14</v>
      </c>
      <c r="R8" s="7">
        <v>7811</v>
      </c>
    </row>
    <row r="9" spans="1:18" ht="15.75" customHeight="1" x14ac:dyDescent="0.25">
      <c r="A9" s="4">
        <v>8</v>
      </c>
      <c r="B9" s="4">
        <v>8447386</v>
      </c>
      <c r="C9" s="5" t="s">
        <v>29</v>
      </c>
      <c r="D9" s="5" t="s">
        <v>24</v>
      </c>
      <c r="E9" s="6">
        <v>36433</v>
      </c>
      <c r="F9" s="6">
        <v>45291</v>
      </c>
      <c r="G9" s="4">
        <v>41.704300000000003</v>
      </c>
      <c r="H9" s="4">
        <v>-71.164100000000005</v>
      </c>
      <c r="I9" s="5" t="s">
        <v>20</v>
      </c>
      <c r="J9" s="7" t="e">
        <f t="shared" ca="1" si="0"/>
        <v>#NAME?</v>
      </c>
      <c r="K9" s="8" t="e">
        <f t="shared" ca="1" si="1"/>
        <v>#NAME?</v>
      </c>
      <c r="L9" s="7">
        <v>94.47</v>
      </c>
      <c r="M9" s="7">
        <v>8353</v>
      </c>
      <c r="N9" s="9">
        <f t="shared" si="2"/>
        <v>22.869267624914443</v>
      </c>
      <c r="O9" s="10">
        <v>36450</v>
      </c>
      <c r="P9" s="10">
        <v>44926</v>
      </c>
      <c r="Q9" s="7">
        <v>89.75</v>
      </c>
      <c r="R9" s="7">
        <v>7608</v>
      </c>
    </row>
    <row r="10" spans="1:18" ht="15.75" customHeight="1" x14ac:dyDescent="0.25">
      <c r="A10" s="4">
        <v>9</v>
      </c>
      <c r="B10" s="4">
        <v>8454049</v>
      </c>
      <c r="C10" s="5" t="s">
        <v>30</v>
      </c>
      <c r="D10" s="5" t="s">
        <v>27</v>
      </c>
      <c r="E10" s="6">
        <v>36427</v>
      </c>
      <c r="F10" s="6">
        <v>45291</v>
      </c>
      <c r="G10" s="4">
        <v>41.586939999999998</v>
      </c>
      <c r="H10" s="4">
        <v>-71.41</v>
      </c>
      <c r="I10" s="5" t="s">
        <v>20</v>
      </c>
      <c r="J10" s="7" t="e">
        <f t="shared" ca="1" si="0"/>
        <v>#NAME?</v>
      </c>
      <c r="K10" s="8" t="e">
        <f t="shared" ca="1" si="1"/>
        <v>#NAME?</v>
      </c>
      <c r="L10" s="7">
        <v>91.51</v>
      </c>
      <c r="M10" s="7">
        <v>8091</v>
      </c>
      <c r="N10" s="9">
        <f t="shared" si="2"/>
        <v>22.151950718685832</v>
      </c>
      <c r="O10" s="10">
        <v>36450</v>
      </c>
      <c r="P10" s="10">
        <v>44926</v>
      </c>
      <c r="Q10" s="7">
        <v>91.08</v>
      </c>
      <c r="R10" s="7">
        <v>7721</v>
      </c>
    </row>
    <row r="11" spans="1:18" ht="15.75" customHeight="1" x14ac:dyDescent="0.25">
      <c r="A11" s="4">
        <v>10</v>
      </c>
      <c r="B11" s="4">
        <v>8452660</v>
      </c>
      <c r="C11" s="5" t="s">
        <v>31</v>
      </c>
      <c r="D11" s="5" t="s">
        <v>27</v>
      </c>
      <c r="E11" s="6">
        <v>34950</v>
      </c>
      <c r="F11" s="6">
        <v>45291</v>
      </c>
      <c r="G11" s="4">
        <v>41.504330000000003</v>
      </c>
      <c r="H11" s="4">
        <v>-71.326099999999997</v>
      </c>
      <c r="I11" s="5" t="s">
        <v>20</v>
      </c>
      <c r="J11" s="7" t="e">
        <f t="shared" ca="1" si="0"/>
        <v>#NAME?</v>
      </c>
      <c r="K11" s="8" t="e">
        <f t="shared" ca="1" si="1"/>
        <v>#NAME?</v>
      </c>
      <c r="L11" s="7">
        <v>93.75</v>
      </c>
      <c r="M11" s="7">
        <v>9691</v>
      </c>
      <c r="N11" s="9">
        <f t="shared" si="2"/>
        <v>26.532511978097194</v>
      </c>
      <c r="O11" s="10">
        <v>36392</v>
      </c>
      <c r="P11" s="10">
        <v>44926</v>
      </c>
      <c r="Q11" s="7">
        <v>96.5</v>
      </c>
      <c r="R11" s="7">
        <v>8236</v>
      </c>
    </row>
    <row r="12" spans="1:18" ht="15.75" customHeight="1" x14ac:dyDescent="0.25">
      <c r="A12" s="4">
        <v>11</v>
      </c>
      <c r="B12" s="4">
        <v>8461490</v>
      </c>
      <c r="C12" s="5" t="s">
        <v>32</v>
      </c>
      <c r="D12" s="5" t="s">
        <v>33</v>
      </c>
      <c r="E12" s="6">
        <v>34836</v>
      </c>
      <c r="F12" s="6">
        <v>45291</v>
      </c>
      <c r="G12" s="4">
        <v>41.371670000000002</v>
      </c>
      <c r="H12" s="4">
        <v>-72.095600000000005</v>
      </c>
      <c r="I12" s="5" t="s">
        <v>20</v>
      </c>
      <c r="J12" s="7" t="e">
        <f t="shared" ca="1" si="0"/>
        <v>#NAME?</v>
      </c>
      <c r="K12" s="8" t="e">
        <f t="shared" ca="1" si="1"/>
        <v>#NAME?</v>
      </c>
      <c r="L12" s="7">
        <v>88.09</v>
      </c>
      <c r="M12" s="7">
        <v>9210</v>
      </c>
      <c r="N12" s="9">
        <f t="shared" si="2"/>
        <v>25.215605749486652</v>
      </c>
      <c r="O12" s="10">
        <v>39841</v>
      </c>
      <c r="P12" s="10">
        <v>44174</v>
      </c>
      <c r="Q12" s="7">
        <v>88.02</v>
      </c>
      <c r="R12" s="7">
        <v>3815</v>
      </c>
    </row>
    <row r="13" spans="1:18" ht="15.75" customHeight="1" x14ac:dyDescent="0.25">
      <c r="A13" s="4">
        <v>12</v>
      </c>
      <c r="B13" s="4">
        <v>8465705</v>
      </c>
      <c r="C13" s="5" t="s">
        <v>34</v>
      </c>
      <c r="D13" s="5" t="s">
        <v>33</v>
      </c>
      <c r="E13" s="6">
        <v>36383</v>
      </c>
      <c r="F13" s="6">
        <v>45291</v>
      </c>
      <c r="G13" s="4">
        <v>41.283329999999999</v>
      </c>
      <c r="H13" s="4">
        <v>-72.908299999999997</v>
      </c>
      <c r="I13" s="5" t="s">
        <v>20</v>
      </c>
      <c r="J13" s="7" t="e">
        <f t="shared" ca="1" si="0"/>
        <v>#NAME?</v>
      </c>
      <c r="K13" s="8" t="e">
        <f t="shared" ca="1" si="1"/>
        <v>#NAME?</v>
      </c>
      <c r="L13" s="7">
        <v>83.45</v>
      </c>
      <c r="M13" s="7">
        <v>7379</v>
      </c>
      <c r="N13" s="9">
        <f t="shared" si="2"/>
        <v>20.202600958247775</v>
      </c>
      <c r="O13" s="10">
        <v>36450</v>
      </c>
      <c r="P13" s="10">
        <v>44926</v>
      </c>
      <c r="Q13" s="7">
        <v>93.94</v>
      </c>
      <c r="R13" s="7">
        <v>7963</v>
      </c>
    </row>
    <row r="14" spans="1:18" ht="15.75" customHeight="1" x14ac:dyDescent="0.25">
      <c r="A14" s="4">
        <v>13</v>
      </c>
      <c r="B14" s="4">
        <v>8516945</v>
      </c>
      <c r="C14" s="5" t="s">
        <v>35</v>
      </c>
      <c r="D14" s="5" t="s">
        <v>36</v>
      </c>
      <c r="E14" s="6">
        <v>36095</v>
      </c>
      <c r="F14" s="6">
        <v>45291</v>
      </c>
      <c r="G14" s="4">
        <v>40.810299999999998</v>
      </c>
      <c r="H14" s="4">
        <v>-73.764899999999997</v>
      </c>
      <c r="I14" s="5" t="s">
        <v>20</v>
      </c>
      <c r="J14" s="7" t="e">
        <f t="shared" ca="1" si="0"/>
        <v>#NAME?</v>
      </c>
      <c r="K14" s="8" t="e">
        <f t="shared" ca="1" si="1"/>
        <v>#NAME?</v>
      </c>
      <c r="L14" s="7">
        <v>88.01</v>
      </c>
      <c r="M14" s="7">
        <v>8092</v>
      </c>
      <c r="N14" s="9">
        <f t="shared" si="2"/>
        <v>22.154688569472963</v>
      </c>
      <c r="O14" s="10">
        <v>36098</v>
      </c>
      <c r="P14" s="10">
        <v>44926</v>
      </c>
      <c r="Q14" s="7">
        <v>95.55</v>
      </c>
      <c r="R14" s="7">
        <v>8436</v>
      </c>
    </row>
    <row r="15" spans="1:18" ht="15.75" customHeight="1" x14ac:dyDescent="0.25">
      <c r="A15" s="4">
        <v>14</v>
      </c>
      <c r="B15" s="4">
        <v>8519483</v>
      </c>
      <c r="C15" s="5" t="s">
        <v>37</v>
      </c>
      <c r="D15" s="5" t="s">
        <v>36</v>
      </c>
      <c r="E15" s="6">
        <v>34290</v>
      </c>
      <c r="F15" s="6">
        <v>45291</v>
      </c>
      <c r="G15" s="4">
        <v>40.639099999999999</v>
      </c>
      <c r="H15" s="4">
        <v>-74.146299999999997</v>
      </c>
      <c r="I15" s="5" t="s">
        <v>20</v>
      </c>
      <c r="J15" s="7" t="e">
        <f t="shared" ca="1" si="0"/>
        <v>#NAME?</v>
      </c>
      <c r="K15" s="8" t="e">
        <f t="shared" ca="1" si="1"/>
        <v>#NAME?</v>
      </c>
      <c r="L15" s="7">
        <v>92.87</v>
      </c>
      <c r="M15" s="7">
        <v>10218</v>
      </c>
      <c r="N15" s="9">
        <f t="shared" si="2"/>
        <v>27.975359342915812</v>
      </c>
      <c r="O15" s="10">
        <v>34529</v>
      </c>
      <c r="P15" s="10">
        <v>44926</v>
      </c>
      <c r="Q15" s="7">
        <v>95.89</v>
      </c>
      <c r="R15" s="7">
        <v>9971</v>
      </c>
    </row>
    <row r="16" spans="1:18" ht="15.75" customHeight="1" x14ac:dyDescent="0.25">
      <c r="A16" s="4">
        <v>15</v>
      </c>
      <c r="B16" s="4">
        <v>8531680</v>
      </c>
      <c r="C16" s="5" t="s">
        <v>38</v>
      </c>
      <c r="D16" s="5" t="s">
        <v>39</v>
      </c>
      <c r="E16" s="6">
        <v>36082</v>
      </c>
      <c r="F16" s="6">
        <v>45291</v>
      </c>
      <c r="G16" s="4">
        <v>40.466900000000003</v>
      </c>
      <c r="H16" s="4">
        <v>-74.009399999999999</v>
      </c>
      <c r="I16" s="5" t="s">
        <v>20</v>
      </c>
      <c r="J16" s="7" t="e">
        <f t="shared" ca="1" si="0"/>
        <v>#NAME?</v>
      </c>
      <c r="K16" s="8" t="e">
        <f t="shared" ca="1" si="1"/>
        <v>#NAME?</v>
      </c>
      <c r="L16" s="7">
        <v>86.56</v>
      </c>
      <c r="M16" s="7">
        <v>7972</v>
      </c>
      <c r="N16" s="9">
        <f t="shared" si="2"/>
        <v>21.826146475017111</v>
      </c>
      <c r="O16" s="10">
        <v>38407</v>
      </c>
      <c r="P16" s="10">
        <v>44926</v>
      </c>
      <c r="Q16" s="7">
        <v>96.1</v>
      </c>
      <c r="R16" s="7">
        <v>6266</v>
      </c>
    </row>
    <row r="17" spans="1:18" ht="15.75" customHeight="1" x14ac:dyDescent="0.25">
      <c r="A17" s="4">
        <v>16</v>
      </c>
      <c r="B17" s="4">
        <v>8534720</v>
      </c>
      <c r="C17" s="5" t="s">
        <v>40</v>
      </c>
      <c r="D17" s="5" t="s">
        <v>39</v>
      </c>
      <c r="E17" s="6">
        <v>34845</v>
      </c>
      <c r="F17" s="6">
        <v>45291</v>
      </c>
      <c r="G17" s="4">
        <v>39.356670000000001</v>
      </c>
      <c r="H17" s="4">
        <v>-74.418099999999995</v>
      </c>
      <c r="I17" s="5" t="s">
        <v>20</v>
      </c>
      <c r="J17" s="7" t="e">
        <f t="shared" ca="1" si="0"/>
        <v>#NAME?</v>
      </c>
      <c r="K17" s="8" t="e">
        <f t="shared" ca="1" si="1"/>
        <v>#NAME?</v>
      </c>
      <c r="L17" s="7">
        <v>94.01</v>
      </c>
      <c r="M17" s="7">
        <v>9821</v>
      </c>
      <c r="N17" s="9">
        <f t="shared" si="2"/>
        <v>26.888432580424368</v>
      </c>
      <c r="O17" s="10">
        <v>39239</v>
      </c>
      <c r="P17" s="10">
        <v>44926</v>
      </c>
      <c r="Q17" s="7">
        <v>83.35</v>
      </c>
      <c r="R17" s="7">
        <v>4741</v>
      </c>
    </row>
    <row r="18" spans="1:18" ht="15.75" customHeight="1" x14ac:dyDescent="0.25">
      <c r="A18" s="4">
        <v>17</v>
      </c>
      <c r="B18" s="4">
        <v>8548989</v>
      </c>
      <c r="C18" s="5" t="s">
        <v>41</v>
      </c>
      <c r="D18" s="5" t="s">
        <v>42</v>
      </c>
      <c r="E18" s="6">
        <v>37194</v>
      </c>
      <c r="F18" s="6">
        <v>45291</v>
      </c>
      <c r="G18" s="4">
        <v>40.137329999999999</v>
      </c>
      <c r="H18" s="4">
        <v>-74.751800000000003</v>
      </c>
      <c r="I18" s="5" t="s">
        <v>20</v>
      </c>
      <c r="J18" s="7" t="e">
        <f t="shared" ca="1" si="0"/>
        <v>#NAME?</v>
      </c>
      <c r="K18" s="8" t="e">
        <f t="shared" ca="1" si="1"/>
        <v>#NAME?</v>
      </c>
      <c r="L18" s="7">
        <v>97.25</v>
      </c>
      <c r="M18" s="7">
        <v>7861</v>
      </c>
      <c r="N18" s="9">
        <f t="shared" si="2"/>
        <v>21.522245037645447</v>
      </c>
      <c r="O18" s="10">
        <v>37209</v>
      </c>
      <c r="P18" s="10">
        <v>44926</v>
      </c>
      <c r="Q18" s="7">
        <v>97.01</v>
      </c>
      <c r="R18" s="7">
        <v>7487</v>
      </c>
    </row>
    <row r="19" spans="1:18" ht="15.75" customHeight="1" x14ac:dyDescent="0.25">
      <c r="A19" s="4">
        <v>18</v>
      </c>
      <c r="B19" s="4">
        <v>8539094</v>
      </c>
      <c r="C19" s="5" t="s">
        <v>43</v>
      </c>
      <c r="D19" s="5" t="s">
        <v>39</v>
      </c>
      <c r="E19" s="6">
        <v>37397</v>
      </c>
      <c r="F19" s="6">
        <v>45291</v>
      </c>
      <c r="G19" s="4">
        <v>40.081699999999998</v>
      </c>
      <c r="H19" s="4">
        <v>-74.869699999999995</v>
      </c>
      <c r="I19" s="5" t="s">
        <v>20</v>
      </c>
      <c r="J19" s="7" t="e">
        <f t="shared" ca="1" si="0"/>
        <v>#NAME?</v>
      </c>
      <c r="K19" s="8" t="e">
        <f t="shared" ca="1" si="1"/>
        <v>#NAME?</v>
      </c>
      <c r="L19" s="7">
        <v>97.28</v>
      </c>
      <c r="M19" s="7">
        <v>7661</v>
      </c>
      <c r="N19" s="9">
        <f t="shared" si="2"/>
        <v>20.974674880219027</v>
      </c>
      <c r="O19" s="10">
        <v>37417</v>
      </c>
      <c r="P19" s="10">
        <v>44926</v>
      </c>
      <c r="Q19" s="7">
        <v>97.68</v>
      </c>
      <c r="R19" s="7">
        <v>7336</v>
      </c>
    </row>
    <row r="20" spans="1:18" ht="15.75" customHeight="1" x14ac:dyDescent="0.25">
      <c r="A20" s="4">
        <v>19</v>
      </c>
      <c r="B20" s="4">
        <v>8545240</v>
      </c>
      <c r="C20" s="5" t="s">
        <v>44</v>
      </c>
      <c r="D20" s="5" t="s">
        <v>42</v>
      </c>
      <c r="E20" s="6">
        <v>35587</v>
      </c>
      <c r="F20" s="6">
        <v>45291</v>
      </c>
      <c r="G20" s="4">
        <v>39.933059999999998</v>
      </c>
      <c r="H20" s="4">
        <v>-75.141999999999996</v>
      </c>
      <c r="I20" s="5" t="s">
        <v>20</v>
      </c>
      <c r="J20" s="7" t="e">
        <f t="shared" ca="1" si="0"/>
        <v>#NAME?</v>
      </c>
      <c r="K20" s="8" t="e">
        <f t="shared" ca="1" si="1"/>
        <v>#NAME?</v>
      </c>
      <c r="L20" s="7">
        <v>79.2</v>
      </c>
      <c r="M20" s="7">
        <v>7686</v>
      </c>
      <c r="N20" s="9">
        <f t="shared" si="2"/>
        <v>21.043121149897331</v>
      </c>
      <c r="O20" s="10">
        <v>37189</v>
      </c>
      <c r="P20" s="10">
        <v>44926</v>
      </c>
      <c r="Q20" s="7">
        <v>97.13</v>
      </c>
      <c r="R20" s="7">
        <v>7516</v>
      </c>
    </row>
    <row r="21" spans="1:18" ht="15.75" customHeight="1" x14ac:dyDescent="0.25">
      <c r="A21" s="4">
        <v>20</v>
      </c>
      <c r="B21" s="4">
        <v>8551910</v>
      </c>
      <c r="C21" s="5" t="s">
        <v>45</v>
      </c>
      <c r="D21" s="5" t="s">
        <v>46</v>
      </c>
      <c r="E21" s="6">
        <v>34313</v>
      </c>
      <c r="F21" s="6">
        <v>45291</v>
      </c>
      <c r="G21" s="4">
        <v>39.558329999999998</v>
      </c>
      <c r="H21" s="4">
        <v>-75.571899999999999</v>
      </c>
      <c r="I21" s="5" t="s">
        <v>20</v>
      </c>
      <c r="J21" s="7" t="e">
        <f t="shared" ca="1" si="0"/>
        <v>#NAME?</v>
      </c>
      <c r="K21" s="8" t="e">
        <f t="shared" ca="1" si="1"/>
        <v>#NAME?</v>
      </c>
      <c r="L21" s="7">
        <v>91.36</v>
      </c>
      <c r="M21" s="7">
        <v>10030</v>
      </c>
      <c r="N21" s="9">
        <f t="shared" si="2"/>
        <v>27.460643394934976</v>
      </c>
      <c r="O21" s="10">
        <v>39629</v>
      </c>
      <c r="P21" s="10">
        <v>44926</v>
      </c>
      <c r="Q21" s="7">
        <v>96.34</v>
      </c>
      <c r="R21" s="7">
        <v>5104</v>
      </c>
    </row>
    <row r="22" spans="1:18" ht="15.75" customHeight="1" x14ac:dyDescent="0.25">
      <c r="A22" s="4">
        <v>21</v>
      </c>
      <c r="B22" s="4">
        <v>8536110</v>
      </c>
      <c r="C22" s="5" t="s">
        <v>47</v>
      </c>
      <c r="D22" s="5" t="s">
        <v>39</v>
      </c>
      <c r="E22" s="6">
        <v>35572</v>
      </c>
      <c r="F22" s="6">
        <v>45291</v>
      </c>
      <c r="G22" s="4">
        <v>38.968299999999999</v>
      </c>
      <c r="H22" s="4">
        <v>-74.959999999999994</v>
      </c>
      <c r="I22" s="5" t="s">
        <v>20</v>
      </c>
      <c r="J22" s="7" t="e">
        <f t="shared" ca="1" si="0"/>
        <v>#NAME?</v>
      </c>
      <c r="K22" s="8" t="e">
        <f t="shared" ca="1" si="1"/>
        <v>#NAME?</v>
      </c>
      <c r="L22" s="7">
        <v>95.67</v>
      </c>
      <c r="M22" s="7">
        <v>9299</v>
      </c>
      <c r="N22" s="9">
        <f t="shared" si="2"/>
        <v>25.459274469541409</v>
      </c>
      <c r="O22" s="10">
        <v>37484</v>
      </c>
      <c r="P22" s="10">
        <v>44926</v>
      </c>
      <c r="Q22" s="7">
        <v>97.72</v>
      </c>
      <c r="R22" s="7">
        <v>7273</v>
      </c>
    </row>
    <row r="23" spans="1:18" ht="15.75" customHeight="1" x14ac:dyDescent="0.25">
      <c r="A23" s="4">
        <v>22</v>
      </c>
      <c r="B23" s="4">
        <v>8557380</v>
      </c>
      <c r="C23" s="5" t="s">
        <v>48</v>
      </c>
      <c r="D23" s="5" t="s">
        <v>46</v>
      </c>
      <c r="E23" s="6">
        <v>35608</v>
      </c>
      <c r="F23" s="6">
        <v>45291</v>
      </c>
      <c r="G23" s="4">
        <v>38.782829999999997</v>
      </c>
      <c r="H23" s="4">
        <v>-75.119299999999996</v>
      </c>
      <c r="I23" s="5" t="s">
        <v>20</v>
      </c>
      <c r="J23" s="7" t="e">
        <f t="shared" ca="1" si="0"/>
        <v>#NAME?</v>
      </c>
      <c r="K23" s="8" t="e">
        <f t="shared" ca="1" si="1"/>
        <v>#NAME?</v>
      </c>
      <c r="L23" s="7">
        <v>95.07</v>
      </c>
      <c r="M23" s="7">
        <v>9206</v>
      </c>
      <c r="N23" s="9">
        <f t="shared" si="2"/>
        <v>25.204654346338124</v>
      </c>
      <c r="O23" s="10">
        <v>37480</v>
      </c>
      <c r="P23" s="10">
        <v>44926</v>
      </c>
      <c r="Q23" s="7">
        <v>97.85</v>
      </c>
      <c r="R23" s="7">
        <v>7287</v>
      </c>
    </row>
    <row r="24" spans="1:18" ht="15.75" customHeight="1" x14ac:dyDescent="0.25">
      <c r="A24" s="4">
        <v>23</v>
      </c>
      <c r="B24" s="4">
        <v>8573927</v>
      </c>
      <c r="C24" s="5" t="s">
        <v>49</v>
      </c>
      <c r="D24" s="5" t="s">
        <v>50</v>
      </c>
      <c r="E24" s="6">
        <v>37855</v>
      </c>
      <c r="F24" s="6">
        <v>45291</v>
      </c>
      <c r="G24" s="4">
        <v>39.526670000000003</v>
      </c>
      <c r="H24" s="4">
        <v>-75.81</v>
      </c>
      <c r="I24" s="5" t="s">
        <v>20</v>
      </c>
      <c r="J24" s="7" t="e">
        <f t="shared" ca="1" si="0"/>
        <v>#NAME?</v>
      </c>
      <c r="K24" s="8" t="e">
        <f t="shared" ca="1" si="1"/>
        <v>#NAME?</v>
      </c>
      <c r="L24" s="7">
        <v>94.29</v>
      </c>
      <c r="M24" s="7">
        <v>7006</v>
      </c>
      <c r="N24" s="9">
        <f t="shared" si="2"/>
        <v>19.1813826146475</v>
      </c>
      <c r="O24" s="10">
        <v>38410</v>
      </c>
      <c r="P24" s="10">
        <v>44926</v>
      </c>
      <c r="Q24" s="7">
        <v>98.34</v>
      </c>
      <c r="R24" s="7">
        <v>6409</v>
      </c>
    </row>
    <row r="25" spans="1:18" ht="15.75" customHeight="1" x14ac:dyDescent="0.25">
      <c r="A25" s="4">
        <v>24</v>
      </c>
      <c r="B25" s="4">
        <v>8574680</v>
      </c>
      <c r="C25" s="5" t="s">
        <v>51</v>
      </c>
      <c r="D25" s="5" t="s">
        <v>50</v>
      </c>
      <c r="E25" s="6">
        <v>35597</v>
      </c>
      <c r="F25" s="6">
        <v>45291</v>
      </c>
      <c r="G25" s="4">
        <v>39.270000000000003</v>
      </c>
      <c r="H25" s="4">
        <v>-76.578299999999999</v>
      </c>
      <c r="I25" s="5" t="s">
        <v>20</v>
      </c>
      <c r="J25" s="7" t="e">
        <f t="shared" ca="1" si="0"/>
        <v>#NAME?</v>
      </c>
      <c r="K25" s="8" t="e">
        <f t="shared" ca="1" si="1"/>
        <v>#NAME?</v>
      </c>
      <c r="L25" s="7">
        <v>98.46</v>
      </c>
      <c r="M25" s="7">
        <v>9256</v>
      </c>
      <c r="N25" s="9">
        <f t="shared" si="2"/>
        <v>25.341546885694729</v>
      </c>
      <c r="O25" s="10">
        <v>37337</v>
      </c>
      <c r="P25" s="10">
        <v>44926</v>
      </c>
      <c r="Q25" s="7">
        <v>70.510000000000005</v>
      </c>
      <c r="R25" s="7">
        <v>5352</v>
      </c>
    </row>
    <row r="26" spans="1:18" ht="15.75" customHeight="1" x14ac:dyDescent="0.25">
      <c r="A26" s="4">
        <v>25</v>
      </c>
      <c r="B26" s="4">
        <v>8573364</v>
      </c>
      <c r="C26" s="5" t="s">
        <v>52</v>
      </c>
      <c r="D26" s="5" t="s">
        <v>50</v>
      </c>
      <c r="E26" s="6">
        <v>34550</v>
      </c>
      <c r="F26" s="6">
        <v>45230</v>
      </c>
      <c r="G26" s="4">
        <v>39.213439999999999</v>
      </c>
      <c r="H26" s="4">
        <v>-76.244600000000005</v>
      </c>
      <c r="I26" s="5" t="s">
        <v>20</v>
      </c>
      <c r="J26" s="7" t="e">
        <f t="shared" ca="1" si="0"/>
        <v>#NAME?</v>
      </c>
      <c r="K26" s="8" t="e">
        <f t="shared" ca="1" si="1"/>
        <v>#NAME?</v>
      </c>
      <c r="L26" s="7">
        <v>98.27</v>
      </c>
      <c r="M26" s="7">
        <v>10495</v>
      </c>
      <c r="N26" s="9">
        <f t="shared" si="2"/>
        <v>28.733744010951405</v>
      </c>
      <c r="O26" s="10">
        <v>34550</v>
      </c>
      <c r="P26" s="10">
        <v>44926</v>
      </c>
      <c r="Q26" s="7">
        <v>96.62</v>
      </c>
      <c r="R26" s="7">
        <v>10026</v>
      </c>
    </row>
    <row r="27" spans="1:18" ht="15.75" customHeight="1" x14ac:dyDescent="0.25">
      <c r="A27" s="4">
        <v>26</v>
      </c>
      <c r="B27" s="4">
        <v>8594900</v>
      </c>
      <c r="C27" s="5" t="s">
        <v>53</v>
      </c>
      <c r="D27" s="5" t="s">
        <v>54</v>
      </c>
      <c r="E27" s="6">
        <v>34757</v>
      </c>
      <c r="F27" s="6">
        <v>45291</v>
      </c>
      <c r="G27" s="4">
        <v>38.872999999999998</v>
      </c>
      <c r="H27" s="4">
        <v>-77.021699999999996</v>
      </c>
      <c r="I27" s="5" t="s">
        <v>20</v>
      </c>
      <c r="J27" s="7" t="e">
        <f t="shared" ca="1" si="0"/>
        <v>#NAME?</v>
      </c>
      <c r="K27" s="8" t="e">
        <f t="shared" ca="1" si="1"/>
        <v>#NAME?</v>
      </c>
      <c r="L27" s="7">
        <v>89.22</v>
      </c>
      <c r="M27" s="7">
        <v>9399</v>
      </c>
      <c r="N27" s="9">
        <f t="shared" si="2"/>
        <v>25.733059548254619</v>
      </c>
      <c r="O27" s="10">
        <v>39618</v>
      </c>
      <c r="P27" s="10">
        <v>44926</v>
      </c>
      <c r="Q27" s="7">
        <v>97.49</v>
      </c>
      <c r="R27" s="7">
        <v>5176</v>
      </c>
    </row>
    <row r="28" spans="1:18" ht="15.75" customHeight="1" x14ac:dyDescent="0.25">
      <c r="A28" s="4">
        <v>27</v>
      </c>
      <c r="B28" s="4">
        <v>8577330</v>
      </c>
      <c r="C28" s="5" t="s">
        <v>55</v>
      </c>
      <c r="D28" s="5" t="s">
        <v>50</v>
      </c>
      <c r="E28" s="6">
        <v>34368</v>
      </c>
      <c r="F28" s="6">
        <v>45291</v>
      </c>
      <c r="G28" s="4">
        <v>38.316699999999997</v>
      </c>
      <c r="H28" s="4">
        <v>-76.451700000000002</v>
      </c>
      <c r="I28" s="5" t="s">
        <v>20</v>
      </c>
      <c r="J28" s="7" t="e">
        <f t="shared" ca="1" si="0"/>
        <v>#NAME?</v>
      </c>
      <c r="K28" s="8" t="e">
        <f t="shared" ca="1" si="1"/>
        <v>#NAME?</v>
      </c>
      <c r="L28" s="7">
        <v>94.75</v>
      </c>
      <c r="M28" s="7">
        <v>10351</v>
      </c>
      <c r="N28" s="9">
        <f t="shared" si="2"/>
        <v>28.33949349760438</v>
      </c>
      <c r="O28" s="10">
        <v>34556</v>
      </c>
      <c r="P28" s="10">
        <v>44926</v>
      </c>
      <c r="Q28" s="7">
        <v>81.09</v>
      </c>
      <c r="R28" s="7">
        <v>8410</v>
      </c>
    </row>
    <row r="29" spans="1:18" ht="15.75" customHeight="1" x14ac:dyDescent="0.25">
      <c r="A29" s="4">
        <v>28</v>
      </c>
      <c r="B29" s="4">
        <v>8635750</v>
      </c>
      <c r="C29" s="5" t="s">
        <v>56</v>
      </c>
      <c r="D29" s="5" t="s">
        <v>57</v>
      </c>
      <c r="E29" s="6">
        <v>34523</v>
      </c>
      <c r="F29" s="6">
        <v>45291</v>
      </c>
      <c r="G29" s="4">
        <v>37.996389999999998</v>
      </c>
      <c r="H29" s="4">
        <v>-76.465599999999995</v>
      </c>
      <c r="I29" s="5" t="s">
        <v>20</v>
      </c>
      <c r="J29" s="7" t="e">
        <f t="shared" ca="1" si="0"/>
        <v>#NAME?</v>
      </c>
      <c r="K29" s="8" t="e">
        <f t="shared" ca="1" si="1"/>
        <v>#NAME?</v>
      </c>
      <c r="L29" s="7">
        <v>95.87</v>
      </c>
      <c r="M29" s="7">
        <v>10532</v>
      </c>
      <c r="N29" s="9">
        <f t="shared" si="2"/>
        <v>28.83504449007529</v>
      </c>
      <c r="O29" s="10">
        <v>34523</v>
      </c>
      <c r="P29" s="10">
        <v>44914</v>
      </c>
      <c r="Q29" s="7">
        <v>97.47</v>
      </c>
      <c r="R29" s="7">
        <v>10129</v>
      </c>
    </row>
    <row r="30" spans="1:18" ht="15.75" customHeight="1" x14ac:dyDescent="0.25">
      <c r="A30" s="4">
        <v>29</v>
      </c>
      <c r="B30" s="4">
        <v>8632200</v>
      </c>
      <c r="C30" s="5" t="s">
        <v>58</v>
      </c>
      <c r="D30" s="5" t="s">
        <v>57</v>
      </c>
      <c r="E30" s="6">
        <v>34464</v>
      </c>
      <c r="F30" s="6">
        <v>45291</v>
      </c>
      <c r="G30" s="4">
        <v>37.165280000000003</v>
      </c>
      <c r="H30" s="4">
        <v>-75.988299999999995</v>
      </c>
      <c r="I30" s="5" t="s">
        <v>20</v>
      </c>
      <c r="J30" s="7" t="e">
        <f t="shared" ca="1" si="0"/>
        <v>#NAME?</v>
      </c>
      <c r="K30" s="8" t="e">
        <f t="shared" ca="1" si="1"/>
        <v>#NAME?</v>
      </c>
      <c r="L30" s="7">
        <v>89.64</v>
      </c>
      <c r="M30" s="7">
        <v>9706</v>
      </c>
      <c r="N30" s="9">
        <f t="shared" si="2"/>
        <v>26.573579739904176</v>
      </c>
      <c r="O30" s="10">
        <v>45275</v>
      </c>
      <c r="P30" s="10">
        <v>45291</v>
      </c>
      <c r="Q30" s="7">
        <v>88.24</v>
      </c>
      <c r="R30" s="7">
        <v>15</v>
      </c>
    </row>
    <row r="31" spans="1:18" ht="15.75" customHeight="1" x14ac:dyDescent="0.25">
      <c r="A31" s="4">
        <v>30</v>
      </c>
      <c r="B31" s="4">
        <v>8637689</v>
      </c>
      <c r="C31" s="5" t="s">
        <v>59</v>
      </c>
      <c r="D31" s="5" t="s">
        <v>57</v>
      </c>
      <c r="E31" s="6">
        <v>38020</v>
      </c>
      <c r="F31" s="6">
        <v>45291</v>
      </c>
      <c r="G31" s="4">
        <v>37.226500000000001</v>
      </c>
      <c r="H31" s="4">
        <v>-76.478800000000007</v>
      </c>
      <c r="I31" s="5" t="s">
        <v>20</v>
      </c>
      <c r="J31" s="7" t="e">
        <f t="shared" ca="1" si="0"/>
        <v>#NAME?</v>
      </c>
      <c r="K31" s="8" t="e">
        <f t="shared" ca="1" si="1"/>
        <v>#NAME?</v>
      </c>
      <c r="L31" s="7">
        <v>88.42</v>
      </c>
      <c r="M31" s="7">
        <v>6404</v>
      </c>
      <c r="N31" s="9">
        <f t="shared" si="2"/>
        <v>17.533196440793976</v>
      </c>
      <c r="O31" s="10">
        <v>38049</v>
      </c>
      <c r="P31" s="10">
        <v>44926</v>
      </c>
      <c r="Q31" s="7">
        <v>97.62</v>
      </c>
      <c r="R31" s="7">
        <v>6714</v>
      </c>
    </row>
    <row r="32" spans="1:18" ht="15.75" customHeight="1" x14ac:dyDescent="0.25">
      <c r="A32" s="4">
        <v>31</v>
      </c>
      <c r="B32" s="4">
        <v>8638863</v>
      </c>
      <c r="C32" s="5" t="s">
        <v>60</v>
      </c>
      <c r="D32" s="5" t="s">
        <v>57</v>
      </c>
      <c r="E32" s="6">
        <v>33667</v>
      </c>
      <c r="F32" s="6">
        <v>43006</v>
      </c>
      <c r="G32" s="4">
        <v>36.966700000000003</v>
      </c>
      <c r="H32" s="4">
        <v>-76.113299999999995</v>
      </c>
      <c r="I32" s="5" t="s">
        <v>20</v>
      </c>
      <c r="J32" s="7" t="e">
        <f t="shared" ca="1" si="0"/>
        <v>#NAME?</v>
      </c>
      <c r="K32" s="8" t="e">
        <f t="shared" ca="1" si="1"/>
        <v>#NAME?</v>
      </c>
      <c r="L32" s="7">
        <v>78.11</v>
      </c>
      <c r="M32" s="7">
        <v>9080</v>
      </c>
      <c r="N32" s="9">
        <f t="shared" si="2"/>
        <v>24.859685147159478</v>
      </c>
      <c r="O32" s="10">
        <v>33667</v>
      </c>
      <c r="P32" s="10">
        <v>43006</v>
      </c>
      <c r="Q32" s="7">
        <v>96.19</v>
      </c>
      <c r="R32" s="7">
        <v>8984</v>
      </c>
    </row>
    <row r="33" spans="1:18" ht="15.75" customHeight="1" x14ac:dyDescent="0.25">
      <c r="A33" s="4">
        <v>32</v>
      </c>
      <c r="B33" s="4">
        <v>8631044</v>
      </c>
      <c r="C33" s="5" t="s">
        <v>61</v>
      </c>
      <c r="D33" s="5" t="s">
        <v>57</v>
      </c>
      <c r="E33" s="6">
        <v>34382</v>
      </c>
      <c r="F33" s="6">
        <v>45291</v>
      </c>
      <c r="G33" s="4">
        <v>37.607779999999998</v>
      </c>
      <c r="H33" s="4">
        <v>-75.6858</v>
      </c>
      <c r="I33" s="5" t="s">
        <v>20</v>
      </c>
      <c r="J33" s="7" t="e">
        <f t="shared" ca="1" si="0"/>
        <v>#NAME?</v>
      </c>
      <c r="K33" s="8" t="e">
        <f t="shared" ca="1" si="1"/>
        <v>#NAME?</v>
      </c>
      <c r="L33" s="7">
        <v>93.76</v>
      </c>
      <c r="M33" s="7">
        <v>10229</v>
      </c>
      <c r="N33" s="9">
        <f t="shared" si="2"/>
        <v>28.005475701574266</v>
      </c>
      <c r="O33" s="10">
        <v>39589</v>
      </c>
      <c r="P33" s="10">
        <v>44926</v>
      </c>
      <c r="Q33" s="7">
        <v>95.13</v>
      </c>
      <c r="R33" s="7">
        <v>5078</v>
      </c>
    </row>
    <row r="34" spans="1:18" ht="15.75" customHeight="1" x14ac:dyDescent="0.25">
      <c r="A34" s="4">
        <v>33</v>
      </c>
      <c r="B34" s="4">
        <v>8651370</v>
      </c>
      <c r="C34" s="5" t="s">
        <v>62</v>
      </c>
      <c r="D34" s="5" t="s">
        <v>63</v>
      </c>
      <c r="E34" s="6">
        <v>34983</v>
      </c>
      <c r="F34" s="6">
        <v>45291</v>
      </c>
      <c r="G34" s="4">
        <v>36.183300000000003</v>
      </c>
      <c r="H34" s="4">
        <v>-75.746700000000004</v>
      </c>
      <c r="I34" s="5" t="s">
        <v>64</v>
      </c>
      <c r="J34" s="7" t="e">
        <f t="shared" ca="1" si="0"/>
        <v>#NAME?</v>
      </c>
      <c r="K34" s="8" t="e">
        <f t="shared" ca="1" si="1"/>
        <v>#NAME?</v>
      </c>
      <c r="L34" s="7">
        <v>89.06</v>
      </c>
      <c r="M34" s="7">
        <v>9181</v>
      </c>
      <c r="N34" s="9">
        <f t="shared" si="2"/>
        <v>25.136208076659823</v>
      </c>
      <c r="O34" s="10">
        <v>33604</v>
      </c>
      <c r="P34" s="10">
        <v>44926</v>
      </c>
      <c r="Q34" s="7">
        <v>96.65</v>
      </c>
      <c r="R34" s="7">
        <v>10944</v>
      </c>
    </row>
    <row r="35" spans="1:18" ht="15.75" customHeight="1" x14ac:dyDescent="0.25">
      <c r="A35" s="4">
        <v>34</v>
      </c>
      <c r="B35" s="4">
        <v>8652587</v>
      </c>
      <c r="C35" s="5" t="s">
        <v>65</v>
      </c>
      <c r="D35" s="5" t="s">
        <v>63</v>
      </c>
      <c r="E35" s="6">
        <v>34422</v>
      </c>
      <c r="F35" s="6">
        <v>45291</v>
      </c>
      <c r="G35" s="4">
        <v>35.79569</v>
      </c>
      <c r="H35" s="4">
        <v>-75.548199999999994</v>
      </c>
      <c r="I35" s="5" t="s">
        <v>64</v>
      </c>
      <c r="J35" s="7" t="e">
        <f t="shared" ca="1" si="0"/>
        <v>#NAME?</v>
      </c>
      <c r="K35" s="8" t="e">
        <f t="shared" ca="1" si="1"/>
        <v>#NAME?</v>
      </c>
      <c r="L35" s="7">
        <v>95.79</v>
      </c>
      <c r="M35" s="7">
        <v>10409</v>
      </c>
      <c r="N35" s="9">
        <f t="shared" si="2"/>
        <v>28.498288843258042</v>
      </c>
      <c r="O35" s="10">
        <v>39239</v>
      </c>
      <c r="P35" s="10">
        <v>44926</v>
      </c>
      <c r="Q35" s="7">
        <v>95.68</v>
      </c>
      <c r="R35" s="7">
        <v>5442</v>
      </c>
    </row>
    <row r="36" spans="1:18" ht="15.75" customHeight="1" x14ac:dyDescent="0.25">
      <c r="A36" s="4">
        <v>35</v>
      </c>
      <c r="B36" s="4">
        <v>8658120</v>
      </c>
      <c r="C36" s="5" t="s">
        <v>66</v>
      </c>
      <c r="D36" s="5" t="s">
        <v>63</v>
      </c>
      <c r="E36" s="6">
        <v>34536</v>
      </c>
      <c r="F36" s="6">
        <v>45291</v>
      </c>
      <c r="G36" s="4">
        <v>34.227499999999999</v>
      </c>
      <c r="H36" s="4">
        <v>-77.953599999999994</v>
      </c>
      <c r="I36" s="5" t="s">
        <v>64</v>
      </c>
      <c r="J36" s="7" t="e">
        <f t="shared" ca="1" si="0"/>
        <v>#NAME?</v>
      </c>
      <c r="K36" s="8" t="e">
        <f t="shared" ca="1" si="1"/>
        <v>#NAME?</v>
      </c>
      <c r="L36" s="7">
        <v>91.66</v>
      </c>
      <c r="M36" s="7">
        <v>9859</v>
      </c>
      <c r="N36" s="9">
        <f t="shared" si="2"/>
        <v>26.992470910335388</v>
      </c>
      <c r="O36" s="10">
        <v>40232</v>
      </c>
      <c r="P36" s="10">
        <v>44926</v>
      </c>
      <c r="Q36" s="7">
        <v>98.27</v>
      </c>
      <c r="R36" s="7">
        <v>4614</v>
      </c>
    </row>
    <row r="37" spans="1:18" ht="15.75" customHeight="1" x14ac:dyDescent="0.25">
      <c r="A37" s="4">
        <v>36</v>
      </c>
      <c r="B37" s="4">
        <v>8665530</v>
      </c>
      <c r="C37" s="5" t="s">
        <v>67</v>
      </c>
      <c r="D37" s="5" t="s">
        <v>68</v>
      </c>
      <c r="E37" s="6">
        <v>36663</v>
      </c>
      <c r="F37" s="6">
        <v>45291</v>
      </c>
      <c r="G37" s="4">
        <v>32.774999999999999</v>
      </c>
      <c r="H37" s="4">
        <v>-79.923900000000003</v>
      </c>
      <c r="I37" s="5" t="s">
        <v>64</v>
      </c>
      <c r="J37" s="7" t="e">
        <f t="shared" ca="1" si="0"/>
        <v>#NAME?</v>
      </c>
      <c r="K37" s="8" t="e">
        <f t="shared" ca="1" si="1"/>
        <v>#NAME?</v>
      </c>
      <c r="L37" s="7">
        <v>89.16</v>
      </c>
      <c r="M37" s="7">
        <v>7693</v>
      </c>
      <c r="N37" s="9">
        <f t="shared" si="2"/>
        <v>21.062286105407257</v>
      </c>
      <c r="O37" s="10">
        <v>39239</v>
      </c>
      <c r="P37" s="10">
        <v>44926</v>
      </c>
      <c r="Q37" s="7">
        <v>79.98</v>
      </c>
      <c r="R37" s="7">
        <v>4549</v>
      </c>
    </row>
    <row r="38" spans="1:18" ht="15" x14ac:dyDescent="0.25">
      <c r="A38" s="4">
        <v>37</v>
      </c>
      <c r="B38" s="4">
        <v>8721604</v>
      </c>
      <c r="C38" s="5" t="s">
        <v>69</v>
      </c>
      <c r="D38" s="5" t="s">
        <v>70</v>
      </c>
      <c r="E38" s="6">
        <v>35115</v>
      </c>
      <c r="F38" s="6">
        <v>45291</v>
      </c>
      <c r="G38" s="4">
        <v>28.41583</v>
      </c>
      <c r="H38" s="4">
        <v>-80.593100000000007</v>
      </c>
      <c r="I38" s="5" t="s">
        <v>64</v>
      </c>
      <c r="J38" s="7" t="e">
        <f t="shared" ca="1" si="0"/>
        <v>#NAME?</v>
      </c>
      <c r="K38" s="8" t="e">
        <f t="shared" ca="1" si="1"/>
        <v>#NAME?</v>
      </c>
      <c r="L38" s="7">
        <v>79.58</v>
      </c>
      <c r="M38" s="7">
        <v>7812</v>
      </c>
      <c r="N38" s="9">
        <f t="shared" si="2"/>
        <v>21.388090349075977</v>
      </c>
      <c r="O38" s="10">
        <v>36601</v>
      </c>
      <c r="P38" s="10">
        <v>44926</v>
      </c>
      <c r="Q38" s="7">
        <v>92.91</v>
      </c>
      <c r="R38" s="7">
        <v>7736</v>
      </c>
    </row>
    <row r="39" spans="1:18" ht="15" x14ac:dyDescent="0.25">
      <c r="A39" s="4">
        <v>38</v>
      </c>
      <c r="B39" s="4">
        <v>8723970</v>
      </c>
      <c r="C39" s="5" t="s">
        <v>71</v>
      </c>
      <c r="D39" s="5" t="s">
        <v>70</v>
      </c>
      <c r="E39" s="6">
        <v>34642</v>
      </c>
      <c r="F39" s="6">
        <v>45291</v>
      </c>
      <c r="G39" s="4">
        <v>24.710999999999999</v>
      </c>
      <c r="H39" s="4">
        <v>-81.106499999999997</v>
      </c>
      <c r="I39" s="5" t="s">
        <v>64</v>
      </c>
      <c r="J39" s="7" t="e">
        <f t="shared" ca="1" si="0"/>
        <v>#NAME?</v>
      </c>
      <c r="K39" s="8" t="e">
        <f t="shared" ca="1" si="1"/>
        <v>#NAME?</v>
      </c>
      <c r="L39" s="7">
        <v>72.14</v>
      </c>
      <c r="M39" s="7">
        <v>7679</v>
      </c>
      <c r="N39" s="9">
        <f t="shared" si="2"/>
        <v>21.023956194387406</v>
      </c>
      <c r="O39" s="10">
        <v>36592</v>
      </c>
      <c r="P39" s="10">
        <v>44926</v>
      </c>
      <c r="Q39" s="7">
        <v>93.09</v>
      </c>
      <c r="R39" s="7">
        <v>7759</v>
      </c>
    </row>
    <row r="40" spans="1:18" ht="15" x14ac:dyDescent="0.25">
      <c r="A40" s="4">
        <v>39</v>
      </c>
      <c r="B40" s="4">
        <v>8724580</v>
      </c>
      <c r="C40" s="5" t="s">
        <v>72</v>
      </c>
      <c r="D40" s="5" t="s">
        <v>70</v>
      </c>
      <c r="E40" s="6">
        <v>35136</v>
      </c>
      <c r="F40" s="6">
        <v>45291</v>
      </c>
      <c r="G40" s="4">
        <v>24.550830000000001</v>
      </c>
      <c r="H40" s="4">
        <v>-81.808300000000003</v>
      </c>
      <c r="I40" s="5" t="s">
        <v>64</v>
      </c>
      <c r="J40" s="7" t="e">
        <f t="shared" ca="1" si="0"/>
        <v>#NAME?</v>
      </c>
      <c r="K40" s="8" t="e">
        <f t="shared" ca="1" si="1"/>
        <v>#NAME?</v>
      </c>
      <c r="L40" s="7">
        <v>88.12</v>
      </c>
      <c r="M40" s="7">
        <v>8949</v>
      </c>
      <c r="N40" s="9">
        <f t="shared" si="2"/>
        <v>24.501026694045173</v>
      </c>
      <c r="O40" s="10">
        <v>36593</v>
      </c>
      <c r="P40" s="10">
        <v>44926</v>
      </c>
      <c r="Q40" s="7">
        <v>88.2</v>
      </c>
      <c r="R40" s="7">
        <v>7351</v>
      </c>
    </row>
    <row r="41" spans="1:18" ht="15" x14ac:dyDescent="0.25">
      <c r="A41" s="4">
        <v>40</v>
      </c>
      <c r="B41" s="4">
        <v>8725520</v>
      </c>
      <c r="C41" s="5" t="s">
        <v>73</v>
      </c>
      <c r="D41" s="5" t="s">
        <v>70</v>
      </c>
      <c r="E41" s="6">
        <v>35826</v>
      </c>
      <c r="F41" s="6">
        <v>45291</v>
      </c>
      <c r="G41" s="4">
        <v>26.648</v>
      </c>
      <c r="H41" s="4">
        <v>-81.870999999999995</v>
      </c>
      <c r="I41" s="5" t="s">
        <v>74</v>
      </c>
      <c r="J41" s="7" t="e">
        <f t="shared" ca="1" si="0"/>
        <v>#NAME?</v>
      </c>
      <c r="K41" s="8" t="e">
        <f t="shared" ca="1" si="1"/>
        <v>#NAME?</v>
      </c>
      <c r="L41" s="7">
        <v>93.04</v>
      </c>
      <c r="M41" s="7">
        <v>8799</v>
      </c>
      <c r="N41" s="9">
        <f t="shared" si="2"/>
        <v>24.090349075975361</v>
      </c>
      <c r="O41" s="10">
        <v>36619</v>
      </c>
      <c r="P41" s="10">
        <v>44926</v>
      </c>
      <c r="Q41" s="7">
        <v>89.67</v>
      </c>
      <c r="R41" s="7">
        <v>7450</v>
      </c>
    </row>
    <row r="42" spans="1:18" ht="15" x14ac:dyDescent="0.25">
      <c r="A42" s="4">
        <v>41</v>
      </c>
      <c r="B42" s="4">
        <v>8726724</v>
      </c>
      <c r="C42" s="5" t="s">
        <v>75</v>
      </c>
      <c r="D42" s="5" t="s">
        <v>70</v>
      </c>
      <c r="E42" s="6">
        <v>34907</v>
      </c>
      <c r="F42" s="6">
        <v>45291</v>
      </c>
      <c r="G42" s="4">
        <v>27.97833</v>
      </c>
      <c r="H42" s="4">
        <v>-82.831699999999998</v>
      </c>
      <c r="I42" s="5" t="s">
        <v>74</v>
      </c>
      <c r="J42" s="7" t="e">
        <f t="shared" ca="1" si="0"/>
        <v>#NAME?</v>
      </c>
      <c r="K42" s="8" t="e">
        <f t="shared" ca="1" si="1"/>
        <v>#NAME?</v>
      </c>
      <c r="L42" s="7">
        <v>95.41</v>
      </c>
      <c r="M42" s="7">
        <v>9908</v>
      </c>
      <c r="N42" s="9">
        <f t="shared" si="2"/>
        <v>27.126625598904859</v>
      </c>
      <c r="O42" s="10">
        <v>34907</v>
      </c>
      <c r="P42" s="10">
        <v>44926</v>
      </c>
      <c r="Q42" s="7">
        <v>93.56</v>
      </c>
      <c r="R42" s="7">
        <v>9375</v>
      </c>
    </row>
    <row r="43" spans="1:18" ht="15" x14ac:dyDescent="0.25">
      <c r="A43" s="4">
        <v>42</v>
      </c>
      <c r="B43" s="4">
        <v>8728690</v>
      </c>
      <c r="C43" s="5" t="s">
        <v>76</v>
      </c>
      <c r="D43" s="5" t="s">
        <v>70</v>
      </c>
      <c r="E43" s="6">
        <v>33904</v>
      </c>
      <c r="F43" s="6">
        <v>45291</v>
      </c>
      <c r="G43" s="4">
        <v>29.724440000000001</v>
      </c>
      <c r="H43" s="4">
        <v>-84.980599999999995</v>
      </c>
      <c r="I43" s="5" t="s">
        <v>74</v>
      </c>
      <c r="J43" s="7" t="e">
        <f t="shared" ca="1" si="0"/>
        <v>#NAME?</v>
      </c>
      <c r="K43" s="8" t="e">
        <f t="shared" ca="1" si="1"/>
        <v>#NAME?</v>
      </c>
      <c r="L43" s="7">
        <v>90.85</v>
      </c>
      <c r="M43" s="7">
        <v>10096</v>
      </c>
      <c r="N43" s="9">
        <f t="shared" si="2"/>
        <v>27.641341546885695</v>
      </c>
      <c r="O43" s="10">
        <v>33906</v>
      </c>
      <c r="P43" s="10">
        <v>44926</v>
      </c>
      <c r="Q43" s="7">
        <v>94.18</v>
      </c>
      <c r="R43" s="7">
        <v>10380</v>
      </c>
    </row>
    <row r="44" spans="1:18" ht="15" x14ac:dyDescent="0.25">
      <c r="A44" s="4">
        <v>43</v>
      </c>
      <c r="B44" s="4">
        <v>8729108</v>
      </c>
      <c r="C44" s="5" t="s">
        <v>77</v>
      </c>
      <c r="D44" s="5" t="s">
        <v>70</v>
      </c>
      <c r="E44" s="6">
        <v>36257</v>
      </c>
      <c r="F44" s="6">
        <v>45291</v>
      </c>
      <c r="G44" s="4">
        <v>30.149719999999999</v>
      </c>
      <c r="H44" s="4">
        <v>-85.664400000000001</v>
      </c>
      <c r="I44" s="5" t="s">
        <v>74</v>
      </c>
      <c r="J44" s="7" t="e">
        <f t="shared" ca="1" si="0"/>
        <v>#NAME?</v>
      </c>
      <c r="K44" s="8" t="e">
        <f t="shared" ca="1" si="1"/>
        <v>#NAME?</v>
      </c>
      <c r="L44" s="7">
        <v>91.74</v>
      </c>
      <c r="M44" s="7">
        <v>8284</v>
      </c>
      <c r="N44" s="9">
        <f t="shared" si="2"/>
        <v>22.680355920602327</v>
      </c>
      <c r="O44" s="10">
        <v>39650</v>
      </c>
      <c r="P44" s="10">
        <v>43549</v>
      </c>
      <c r="Q44" s="7">
        <v>98.23</v>
      </c>
      <c r="R44" s="7">
        <v>3831</v>
      </c>
    </row>
    <row r="45" spans="1:18" ht="15" x14ac:dyDescent="0.25">
      <c r="A45" s="4">
        <v>44</v>
      </c>
      <c r="B45" s="4">
        <v>8729210</v>
      </c>
      <c r="C45" s="5" t="s">
        <v>78</v>
      </c>
      <c r="D45" s="5" t="s">
        <v>70</v>
      </c>
      <c r="E45" s="6">
        <v>34173</v>
      </c>
      <c r="F45" s="6">
        <v>45291</v>
      </c>
      <c r="G45" s="4">
        <v>30.213750000000001</v>
      </c>
      <c r="H45" s="4">
        <v>-85.878600000000006</v>
      </c>
      <c r="I45" s="5" t="s">
        <v>74</v>
      </c>
      <c r="J45" s="7" t="e">
        <f t="shared" ca="1" si="0"/>
        <v>#NAME?</v>
      </c>
      <c r="K45" s="8" t="e">
        <f t="shared" ca="1" si="1"/>
        <v>#NAME?</v>
      </c>
      <c r="L45" s="7">
        <v>77.88</v>
      </c>
      <c r="M45" s="7">
        <v>8653</v>
      </c>
      <c r="N45" s="9">
        <f t="shared" si="2"/>
        <v>23.690622861054074</v>
      </c>
      <c r="O45" s="10">
        <v>34771</v>
      </c>
      <c r="P45" s="10">
        <v>44926</v>
      </c>
      <c r="Q45" s="7">
        <v>73.2</v>
      </c>
      <c r="R45" s="7">
        <v>7434</v>
      </c>
    </row>
    <row r="46" spans="1:18" ht="15" x14ac:dyDescent="0.25">
      <c r="A46" s="4">
        <v>45</v>
      </c>
      <c r="B46" s="4">
        <v>8729840</v>
      </c>
      <c r="C46" s="5" t="s">
        <v>79</v>
      </c>
      <c r="D46" s="5" t="s">
        <v>70</v>
      </c>
      <c r="E46" s="6">
        <v>35375</v>
      </c>
      <c r="F46" s="6">
        <v>45291</v>
      </c>
      <c r="G46" s="4">
        <v>30.404399999999999</v>
      </c>
      <c r="H46" s="4">
        <v>-87.211200000000005</v>
      </c>
      <c r="I46" s="5" t="s">
        <v>74</v>
      </c>
      <c r="J46" s="7" t="e">
        <f t="shared" ca="1" si="0"/>
        <v>#NAME?</v>
      </c>
      <c r="K46" s="8" t="e">
        <f t="shared" ca="1" si="1"/>
        <v>#NAME?</v>
      </c>
      <c r="L46" s="7">
        <v>83.95</v>
      </c>
      <c r="M46" s="7">
        <v>8314</v>
      </c>
      <c r="N46" s="9">
        <f t="shared" si="2"/>
        <v>22.762491444216291</v>
      </c>
      <c r="O46" s="10">
        <v>36553</v>
      </c>
      <c r="P46" s="10">
        <v>44926</v>
      </c>
      <c r="Q46" s="7">
        <v>91.21</v>
      </c>
      <c r="R46" s="7">
        <v>7638</v>
      </c>
    </row>
    <row r="47" spans="1:18" ht="15" x14ac:dyDescent="0.25">
      <c r="A47" s="4">
        <v>46</v>
      </c>
      <c r="B47" s="4">
        <v>8762482</v>
      </c>
      <c r="C47" s="5" t="s">
        <v>80</v>
      </c>
      <c r="D47" s="5" t="s">
        <v>81</v>
      </c>
      <c r="E47" s="6">
        <v>37744</v>
      </c>
      <c r="F47" s="6">
        <v>45291</v>
      </c>
      <c r="G47" s="4">
        <v>29.788609999999998</v>
      </c>
      <c r="H47" s="4">
        <v>-90.420299999999997</v>
      </c>
      <c r="I47" s="5" t="s">
        <v>82</v>
      </c>
      <c r="J47" s="7" t="e">
        <f t="shared" ca="1" si="0"/>
        <v>#NAME?</v>
      </c>
      <c r="K47" s="8" t="e">
        <f t="shared" ca="1" si="1"/>
        <v>#NAME?</v>
      </c>
      <c r="L47" s="7">
        <v>89.9</v>
      </c>
      <c r="M47" s="7">
        <v>6775</v>
      </c>
      <c r="N47" s="9">
        <f t="shared" si="2"/>
        <v>18.548939082819988</v>
      </c>
      <c r="O47" s="10">
        <v>37756</v>
      </c>
      <c r="P47" s="10">
        <v>44926</v>
      </c>
      <c r="Q47" s="7">
        <v>91.13</v>
      </c>
      <c r="R47" s="7">
        <v>6535</v>
      </c>
    </row>
    <row r="48" spans="1:18" ht="15" x14ac:dyDescent="0.25">
      <c r="A48" s="4">
        <v>47</v>
      </c>
      <c r="B48" s="4">
        <v>8761724</v>
      </c>
      <c r="C48" s="5" t="s">
        <v>83</v>
      </c>
      <c r="D48" s="5" t="s">
        <v>81</v>
      </c>
      <c r="E48" s="6">
        <v>35741</v>
      </c>
      <c r="F48" s="6">
        <v>45291</v>
      </c>
      <c r="G48" s="4">
        <v>29.26333</v>
      </c>
      <c r="H48" s="4">
        <v>-89.956699999999998</v>
      </c>
      <c r="I48" s="5" t="s">
        <v>82</v>
      </c>
      <c r="J48" s="7" t="e">
        <f t="shared" ca="1" si="0"/>
        <v>#NAME?</v>
      </c>
      <c r="K48" s="8" t="e">
        <f t="shared" ca="1" si="1"/>
        <v>#NAME?</v>
      </c>
      <c r="L48" s="7">
        <v>85.57</v>
      </c>
      <c r="M48" s="7">
        <v>8173</v>
      </c>
      <c r="N48" s="9">
        <f t="shared" si="2"/>
        <v>22.376454483230663</v>
      </c>
      <c r="O48" s="10">
        <v>36839</v>
      </c>
      <c r="P48" s="10">
        <v>44926</v>
      </c>
      <c r="Q48" s="7">
        <v>83.65</v>
      </c>
      <c r="R48" s="7">
        <v>6766</v>
      </c>
    </row>
    <row r="49" spans="1:18" ht="15" x14ac:dyDescent="0.25">
      <c r="A49" s="4">
        <v>48</v>
      </c>
      <c r="B49" s="4">
        <v>8768094</v>
      </c>
      <c r="C49" s="5" t="s">
        <v>84</v>
      </c>
      <c r="D49" s="5" t="s">
        <v>81</v>
      </c>
      <c r="E49" s="6">
        <v>38299</v>
      </c>
      <c r="F49" s="6">
        <v>45291</v>
      </c>
      <c r="G49" s="4">
        <v>29.768170000000001</v>
      </c>
      <c r="H49" s="4">
        <v>-93.3429</v>
      </c>
      <c r="I49" s="5" t="s">
        <v>82</v>
      </c>
      <c r="J49" s="7" t="e">
        <f t="shared" ca="1" si="0"/>
        <v>#NAME?</v>
      </c>
      <c r="K49" s="8" t="e">
        <f t="shared" ca="1" si="1"/>
        <v>#NAME?</v>
      </c>
      <c r="L49" s="7">
        <v>83.12</v>
      </c>
      <c r="M49" s="7">
        <v>5723</v>
      </c>
      <c r="N49" s="9">
        <f t="shared" si="2"/>
        <v>15.668720054757015</v>
      </c>
      <c r="O49" s="10">
        <v>38395</v>
      </c>
      <c r="P49" s="10">
        <v>44926</v>
      </c>
      <c r="Q49" s="7">
        <v>80.209999999999994</v>
      </c>
      <c r="R49" s="7">
        <v>5239</v>
      </c>
    </row>
    <row r="50" spans="1:18" ht="15" x14ac:dyDescent="0.25">
      <c r="A50" s="4">
        <v>49</v>
      </c>
      <c r="B50" s="4">
        <v>8770475</v>
      </c>
      <c r="C50" s="5" t="s">
        <v>85</v>
      </c>
      <c r="D50" s="5" t="s">
        <v>86</v>
      </c>
      <c r="E50" s="6">
        <v>38945</v>
      </c>
      <c r="F50" s="6">
        <v>45291</v>
      </c>
      <c r="G50" s="4">
        <v>29.866700000000002</v>
      </c>
      <c r="H50" s="4">
        <v>-93.93</v>
      </c>
      <c r="I50" s="5" t="s">
        <v>82</v>
      </c>
      <c r="J50" s="7" t="e">
        <f t="shared" ca="1" si="0"/>
        <v>#NAME?</v>
      </c>
      <c r="K50" s="8" t="e">
        <f t="shared" ca="1" si="1"/>
        <v>#NAME?</v>
      </c>
      <c r="L50" s="7">
        <v>91.84</v>
      </c>
      <c r="M50" s="7">
        <v>5559</v>
      </c>
      <c r="N50" s="9">
        <f t="shared" si="2"/>
        <v>15.219712525667351</v>
      </c>
      <c r="O50" s="10">
        <v>38098</v>
      </c>
      <c r="P50" s="10">
        <v>44926</v>
      </c>
      <c r="Q50" s="7">
        <v>40.96</v>
      </c>
      <c r="R50" s="7">
        <v>2797</v>
      </c>
    </row>
    <row r="51" spans="1:18" ht="15" x14ac:dyDescent="0.25">
      <c r="A51" s="4">
        <v>50</v>
      </c>
      <c r="B51" s="4">
        <v>8770570</v>
      </c>
      <c r="C51" s="5" t="s">
        <v>87</v>
      </c>
      <c r="D51" s="5" t="s">
        <v>86</v>
      </c>
      <c r="E51" s="6">
        <v>34774</v>
      </c>
      <c r="F51" s="6">
        <v>44214</v>
      </c>
      <c r="G51" s="4">
        <v>29.728400000000001</v>
      </c>
      <c r="H51" s="4">
        <v>-93.870099999999994</v>
      </c>
      <c r="I51" s="5" t="s">
        <v>82</v>
      </c>
      <c r="J51" s="7" t="e">
        <f t="shared" ca="1" si="0"/>
        <v>#NAME?</v>
      </c>
      <c r="K51" s="8" t="e">
        <f t="shared" ca="1" si="1"/>
        <v>#NAME?</v>
      </c>
      <c r="L51" s="7">
        <v>85.98</v>
      </c>
      <c r="M51" s="7">
        <v>8016</v>
      </c>
      <c r="N51" s="9">
        <f t="shared" si="2"/>
        <v>21.946611909650922</v>
      </c>
      <c r="O51" s="10">
        <v>37949</v>
      </c>
      <c r="P51" s="10">
        <v>44104</v>
      </c>
      <c r="Q51" s="7">
        <v>90.59</v>
      </c>
      <c r="R51" s="7">
        <v>5577</v>
      </c>
    </row>
    <row r="52" spans="1:18" ht="15" x14ac:dyDescent="0.25">
      <c r="A52" s="4">
        <v>51</v>
      </c>
      <c r="B52" s="4">
        <v>8770971</v>
      </c>
      <c r="C52" s="5" t="s">
        <v>88</v>
      </c>
      <c r="D52" s="5" t="s">
        <v>86</v>
      </c>
      <c r="E52" s="6">
        <v>38041</v>
      </c>
      <c r="F52" s="6">
        <v>45291</v>
      </c>
      <c r="G52" s="4">
        <v>29.515000000000001</v>
      </c>
      <c r="H52" s="4">
        <v>-94.513300000000001</v>
      </c>
      <c r="I52" s="5" t="s">
        <v>82</v>
      </c>
      <c r="J52" s="7" t="e">
        <f t="shared" ca="1" si="0"/>
        <v>#NAME?</v>
      </c>
      <c r="K52" s="8" t="e">
        <f t="shared" ca="1" si="1"/>
        <v>#NAME?</v>
      </c>
      <c r="L52" s="7">
        <v>93.38</v>
      </c>
      <c r="M52" s="7">
        <v>5652</v>
      </c>
      <c r="N52" s="9">
        <f t="shared" si="2"/>
        <v>15.474332648870636</v>
      </c>
      <c r="O52" s="10">
        <v>39239</v>
      </c>
      <c r="P52" s="10">
        <v>44926</v>
      </c>
      <c r="Q52" s="7">
        <v>70.38</v>
      </c>
      <c r="R52" s="7">
        <v>4003</v>
      </c>
    </row>
    <row r="53" spans="1:18" ht="15" x14ac:dyDescent="0.25">
      <c r="A53" s="4">
        <v>52</v>
      </c>
      <c r="B53" s="4">
        <v>8771341</v>
      </c>
      <c r="C53" s="5" t="s">
        <v>89</v>
      </c>
      <c r="D53" s="5" t="s">
        <v>86</v>
      </c>
      <c r="E53" s="6">
        <v>36633</v>
      </c>
      <c r="F53" s="6">
        <v>45291</v>
      </c>
      <c r="G53" s="4">
        <v>29.35746</v>
      </c>
      <c r="H53" s="4">
        <v>-94.724699999999999</v>
      </c>
      <c r="I53" s="5" t="s">
        <v>82</v>
      </c>
      <c r="J53" s="7" t="e">
        <f t="shared" ca="1" si="0"/>
        <v>#NAME?</v>
      </c>
      <c r="K53" s="8" t="e">
        <f t="shared" ca="1" si="1"/>
        <v>#NAME?</v>
      </c>
      <c r="L53" s="7">
        <v>85.92</v>
      </c>
      <c r="M53" s="7">
        <v>7174</v>
      </c>
      <c r="N53" s="9">
        <f t="shared" si="2"/>
        <v>19.641341546885695</v>
      </c>
      <c r="O53" s="10">
        <v>37026</v>
      </c>
      <c r="P53" s="10">
        <v>44926</v>
      </c>
      <c r="Q53" s="7">
        <v>80.75</v>
      </c>
      <c r="R53" s="7">
        <v>6380</v>
      </c>
    </row>
    <row r="54" spans="1:18" ht="15" x14ac:dyDescent="0.25">
      <c r="A54" s="4">
        <v>53</v>
      </c>
      <c r="B54" s="4">
        <v>8771450</v>
      </c>
      <c r="C54" s="5" t="s">
        <v>90</v>
      </c>
      <c r="D54" s="5" t="s">
        <v>86</v>
      </c>
      <c r="E54" s="6">
        <v>34773</v>
      </c>
      <c r="F54" s="6">
        <v>45291</v>
      </c>
      <c r="G54" s="4">
        <v>29.31</v>
      </c>
      <c r="H54" s="4">
        <v>-94.793300000000002</v>
      </c>
      <c r="I54" s="5" t="s">
        <v>82</v>
      </c>
      <c r="J54" s="7" t="e">
        <f t="shared" ca="1" si="0"/>
        <v>#NAME?</v>
      </c>
      <c r="K54" s="8" t="e">
        <f t="shared" ca="1" si="1"/>
        <v>#NAME?</v>
      </c>
      <c r="L54" s="7">
        <v>83.76</v>
      </c>
      <c r="M54" s="7">
        <v>8808</v>
      </c>
      <c r="N54" s="9">
        <f t="shared" si="2"/>
        <v>24.114989733059549</v>
      </c>
      <c r="O54" s="10">
        <v>37629</v>
      </c>
      <c r="P54" s="10">
        <v>44926</v>
      </c>
      <c r="Q54" s="7">
        <v>75.03</v>
      </c>
      <c r="R54" s="7">
        <v>5476</v>
      </c>
    </row>
    <row r="55" spans="1:18" ht="15" x14ac:dyDescent="0.25">
      <c r="A55" s="4">
        <v>54</v>
      </c>
      <c r="B55" s="4">
        <v>8775870</v>
      </c>
      <c r="C55" s="5" t="s">
        <v>91</v>
      </c>
      <c r="D55" s="5" t="s">
        <v>86</v>
      </c>
      <c r="E55" s="6">
        <v>34796</v>
      </c>
      <c r="F55" s="6">
        <v>44552</v>
      </c>
      <c r="G55" s="4">
        <v>27.58</v>
      </c>
      <c r="H55" s="4">
        <v>-97.216700000000003</v>
      </c>
      <c r="I55" s="5" t="s">
        <v>82</v>
      </c>
      <c r="J55" s="7" t="e">
        <f t="shared" ca="1" si="0"/>
        <v>#NAME?</v>
      </c>
      <c r="K55" s="8" t="e">
        <f t="shared" ca="1" si="1"/>
        <v>#NAME?</v>
      </c>
      <c r="L55" s="7">
        <v>92.2</v>
      </c>
      <c r="M55" s="7">
        <v>8996</v>
      </c>
      <c r="N55" s="9">
        <f t="shared" si="2"/>
        <v>24.629705681040384</v>
      </c>
      <c r="O55" s="10">
        <v>37192</v>
      </c>
      <c r="P55" s="10">
        <v>44552</v>
      </c>
      <c r="Q55" s="7">
        <v>79.540000000000006</v>
      </c>
      <c r="R55" s="7">
        <v>5855</v>
      </c>
    </row>
    <row r="56" spans="1:18" ht="15" x14ac:dyDescent="0.25">
      <c r="A56" s="4">
        <v>55</v>
      </c>
      <c r="B56" s="4">
        <v>8776604</v>
      </c>
      <c r="C56" s="5" t="s">
        <v>92</v>
      </c>
      <c r="D56" s="5" t="s">
        <v>86</v>
      </c>
      <c r="E56" s="6">
        <v>38082</v>
      </c>
      <c r="F56" s="6">
        <v>45291</v>
      </c>
      <c r="G56" s="4">
        <v>27.297000000000001</v>
      </c>
      <c r="H56" s="4">
        <v>-97.405199999999994</v>
      </c>
      <c r="I56" s="5" t="s">
        <v>82</v>
      </c>
      <c r="J56" s="7" t="e">
        <f t="shared" ca="1" si="0"/>
        <v>#NAME?</v>
      </c>
      <c r="K56" s="8" t="e">
        <f t="shared" ca="1" si="1"/>
        <v>#NAME?</v>
      </c>
      <c r="L56" s="7">
        <v>92.53</v>
      </c>
      <c r="M56" s="7">
        <v>5601</v>
      </c>
      <c r="N56" s="9">
        <f t="shared" si="2"/>
        <v>15.3347022587269</v>
      </c>
      <c r="O56" s="10">
        <v>39239</v>
      </c>
      <c r="P56" s="10">
        <v>44926</v>
      </c>
      <c r="Q56" s="7">
        <v>65.14</v>
      </c>
      <c r="R56" s="7">
        <v>3705</v>
      </c>
    </row>
    <row r="57" spans="1:18" ht="15" x14ac:dyDescent="0.25">
      <c r="A57" s="4">
        <v>56</v>
      </c>
      <c r="B57" s="4">
        <v>9755371</v>
      </c>
      <c r="C57" s="5" t="s">
        <v>93</v>
      </c>
      <c r="D57" s="5" t="s">
        <v>94</v>
      </c>
      <c r="E57" s="6">
        <v>34003</v>
      </c>
      <c r="F57" s="6">
        <v>45291</v>
      </c>
      <c r="G57" s="4">
        <v>18.458939999999998</v>
      </c>
      <c r="H57" s="4">
        <v>-66.116399999999999</v>
      </c>
      <c r="I57" s="5" t="s">
        <v>95</v>
      </c>
      <c r="J57" s="7" t="e">
        <f t="shared" ca="1" si="0"/>
        <v>#NAME?</v>
      </c>
      <c r="K57" s="8" t="e">
        <f t="shared" ca="1" si="1"/>
        <v>#NAME?</v>
      </c>
      <c r="L57" s="7">
        <v>73.900000000000006</v>
      </c>
      <c r="M57" s="7">
        <v>7527</v>
      </c>
      <c r="N57" s="9">
        <f t="shared" si="2"/>
        <v>20.607802874743328</v>
      </c>
      <c r="O57" s="10">
        <v>36567</v>
      </c>
      <c r="P57" s="10">
        <v>44926</v>
      </c>
      <c r="Q57" s="7">
        <v>90.31</v>
      </c>
      <c r="R57" s="7">
        <v>7550</v>
      </c>
    </row>
    <row r="58" spans="1:18" ht="15" x14ac:dyDescent="0.25">
      <c r="A58" s="4">
        <v>57</v>
      </c>
      <c r="B58" s="4">
        <v>9751401</v>
      </c>
      <c r="C58" s="5" t="s">
        <v>96</v>
      </c>
      <c r="D58" s="5" t="s">
        <v>97</v>
      </c>
      <c r="E58" s="6">
        <v>35485</v>
      </c>
      <c r="F58" s="6">
        <v>45291</v>
      </c>
      <c r="G58" s="4">
        <v>17.694700000000001</v>
      </c>
      <c r="H58" s="4">
        <v>-64.753799999999998</v>
      </c>
      <c r="I58" s="5" t="s">
        <v>95</v>
      </c>
      <c r="J58" s="7" t="e">
        <f t="shared" ca="1" si="0"/>
        <v>#NAME?</v>
      </c>
      <c r="K58" s="8" t="e">
        <f t="shared" ca="1" si="1"/>
        <v>#NAME?</v>
      </c>
      <c r="L58" s="7">
        <v>93.91</v>
      </c>
      <c r="M58" s="7">
        <v>9210</v>
      </c>
      <c r="N58" s="9">
        <f t="shared" si="2"/>
        <v>25.215605749486652</v>
      </c>
      <c r="O58" s="10">
        <v>36580</v>
      </c>
      <c r="P58" s="10">
        <v>44926</v>
      </c>
      <c r="Q58" s="7">
        <v>88.41</v>
      </c>
      <c r="R58" s="7">
        <v>7380</v>
      </c>
    </row>
    <row r="59" spans="1:18" ht="15" x14ac:dyDescent="0.25">
      <c r="A59" s="11">
        <v>58</v>
      </c>
      <c r="B59" s="11">
        <v>9075099</v>
      </c>
      <c r="C59" s="12" t="s">
        <v>98</v>
      </c>
      <c r="D59" s="12" t="s">
        <v>99</v>
      </c>
      <c r="E59" s="13">
        <v>37545</v>
      </c>
      <c r="F59" s="13">
        <v>45291</v>
      </c>
      <c r="G59" s="11">
        <v>45.9925</v>
      </c>
      <c r="H59" s="11">
        <v>-83.898200000000003</v>
      </c>
      <c r="I59" s="12" t="s">
        <v>100</v>
      </c>
      <c r="J59" s="7" t="e">
        <f t="shared" ca="1" si="0"/>
        <v>#NAME?</v>
      </c>
      <c r="K59" s="8" t="e">
        <f t="shared" ca="1" si="1"/>
        <v>#NAME?</v>
      </c>
      <c r="L59" s="7">
        <v>97.56</v>
      </c>
      <c r="M59" s="7">
        <v>7557</v>
      </c>
      <c r="N59" s="9">
        <f t="shared" si="2"/>
        <v>20.689938398357288</v>
      </c>
      <c r="O59" s="10">
        <v>37546</v>
      </c>
      <c r="P59" s="10">
        <v>44926</v>
      </c>
      <c r="Q59" s="7">
        <v>98.39</v>
      </c>
      <c r="R59" s="7">
        <v>7262</v>
      </c>
    </row>
    <row r="60" spans="1:18" ht="15" x14ac:dyDescent="0.25">
      <c r="A60" s="11">
        <v>59</v>
      </c>
      <c r="B60" s="11">
        <v>9075014</v>
      </c>
      <c r="C60" s="12" t="s">
        <v>101</v>
      </c>
      <c r="D60" s="12" t="s">
        <v>99</v>
      </c>
      <c r="E60" s="13">
        <v>37519</v>
      </c>
      <c r="F60" s="13">
        <v>45291</v>
      </c>
      <c r="G60" s="11">
        <v>43.846249999999998</v>
      </c>
      <c r="H60" s="11">
        <v>-82.643100000000004</v>
      </c>
      <c r="I60" s="12" t="s">
        <v>100</v>
      </c>
      <c r="J60" s="7" t="e">
        <f t="shared" ca="1" si="0"/>
        <v>#NAME?</v>
      </c>
      <c r="K60" s="8" t="e">
        <f t="shared" ca="1" si="1"/>
        <v>#NAME?</v>
      </c>
      <c r="L60" s="7">
        <v>97.23</v>
      </c>
      <c r="M60" s="7">
        <v>7553</v>
      </c>
      <c r="N60" s="9">
        <f t="shared" si="2"/>
        <v>20.67898699520876</v>
      </c>
      <c r="O60" s="10">
        <v>37519</v>
      </c>
      <c r="P60" s="10">
        <v>44926</v>
      </c>
      <c r="Q60" s="7">
        <v>96.64</v>
      </c>
      <c r="R60" s="7">
        <v>7159</v>
      </c>
    </row>
    <row r="61" spans="1:18" ht="15" x14ac:dyDescent="0.25">
      <c r="A61" s="11">
        <v>60</v>
      </c>
      <c r="B61" s="11">
        <v>9063079</v>
      </c>
      <c r="C61" s="12" t="s">
        <v>102</v>
      </c>
      <c r="D61" s="12" t="s">
        <v>103</v>
      </c>
      <c r="E61" s="13">
        <v>38331</v>
      </c>
      <c r="F61" s="13">
        <v>45291</v>
      </c>
      <c r="G61" s="11">
        <v>41.543640000000003</v>
      </c>
      <c r="H61" s="11">
        <v>-82.731399999999994</v>
      </c>
      <c r="I61" s="12" t="s">
        <v>100</v>
      </c>
      <c r="J61" s="7" t="e">
        <f t="shared" ca="1" si="0"/>
        <v>#NAME?</v>
      </c>
      <c r="K61" s="8" t="e">
        <f t="shared" ca="1" si="1"/>
        <v>#NAME?</v>
      </c>
      <c r="L61" s="7">
        <v>99.51</v>
      </c>
      <c r="M61" s="7">
        <v>6919</v>
      </c>
      <c r="N61" s="9">
        <f t="shared" si="2"/>
        <v>18.943189596167009</v>
      </c>
      <c r="O61" s="10">
        <v>38332</v>
      </c>
      <c r="P61" s="10">
        <v>44926</v>
      </c>
      <c r="Q61" s="7">
        <v>95.34</v>
      </c>
      <c r="R61" s="7">
        <v>6288</v>
      </c>
    </row>
    <row r="62" spans="1:18" ht="15" x14ac:dyDescent="0.25">
      <c r="A62" s="11">
        <v>61</v>
      </c>
      <c r="B62" s="11">
        <v>9063063</v>
      </c>
      <c r="C62" s="12" t="s">
        <v>104</v>
      </c>
      <c r="D62" s="12" t="s">
        <v>103</v>
      </c>
      <c r="E62" s="13">
        <v>38568</v>
      </c>
      <c r="F62" s="13">
        <v>45291</v>
      </c>
      <c r="G62" s="11">
        <v>41.540860000000002</v>
      </c>
      <c r="H62" s="11">
        <v>-81.635499999999993</v>
      </c>
      <c r="I62" s="12" t="s">
        <v>100</v>
      </c>
      <c r="J62" s="7" t="e">
        <f t="shared" ca="1" si="0"/>
        <v>#NAME?</v>
      </c>
      <c r="K62" s="8" t="e">
        <f t="shared" ca="1" si="1"/>
        <v>#NAME?</v>
      </c>
      <c r="L62" s="7">
        <v>95.37</v>
      </c>
      <c r="M62" s="7">
        <v>6409</v>
      </c>
      <c r="N62" s="9">
        <f t="shared" si="2"/>
        <v>17.546885694729639</v>
      </c>
      <c r="O62" s="10">
        <v>38582</v>
      </c>
      <c r="P62" s="10">
        <v>44926</v>
      </c>
      <c r="Q62" s="7">
        <v>96.14</v>
      </c>
      <c r="R62" s="7">
        <v>6100</v>
      </c>
    </row>
    <row r="63" spans="1:18" ht="15" x14ac:dyDescent="0.25">
      <c r="A63" s="11">
        <v>62</v>
      </c>
      <c r="B63" s="11">
        <v>9063020</v>
      </c>
      <c r="C63" s="12" t="s">
        <v>105</v>
      </c>
      <c r="D63" s="12" t="s">
        <v>36</v>
      </c>
      <c r="E63" s="13">
        <v>37467</v>
      </c>
      <c r="F63" s="13">
        <v>45291</v>
      </c>
      <c r="G63" s="11">
        <v>42.87744</v>
      </c>
      <c r="H63" s="11">
        <v>-78.890500000000003</v>
      </c>
      <c r="I63" s="12" t="s">
        <v>100</v>
      </c>
      <c r="J63" s="7" t="e">
        <f t="shared" ca="1" si="0"/>
        <v>#NAME?</v>
      </c>
      <c r="K63" s="8" t="e">
        <f t="shared" ca="1" si="1"/>
        <v>#NAME?</v>
      </c>
      <c r="L63" s="7">
        <v>92.6</v>
      </c>
      <c r="M63" s="7">
        <v>7245</v>
      </c>
      <c r="N63" s="9">
        <f t="shared" si="2"/>
        <v>19.835728952772072</v>
      </c>
      <c r="O63" s="10">
        <v>37467</v>
      </c>
      <c r="P63" s="10">
        <v>44926</v>
      </c>
      <c r="Q63" s="7">
        <v>98.12</v>
      </c>
      <c r="R63" s="7">
        <v>7320</v>
      </c>
    </row>
    <row r="64" spans="1:18" ht="15" x14ac:dyDescent="0.25">
      <c r="A64" s="14">
        <v>63</v>
      </c>
      <c r="B64" s="14">
        <v>9459450</v>
      </c>
      <c r="C64" s="15" t="s">
        <v>106</v>
      </c>
      <c r="D64" s="15" t="s">
        <v>107</v>
      </c>
      <c r="E64" s="16">
        <v>34885</v>
      </c>
      <c r="F64" s="16">
        <v>45291</v>
      </c>
      <c r="G64" s="14">
        <v>55.331719999999997</v>
      </c>
      <c r="H64" s="14">
        <v>-160.50399999999999</v>
      </c>
      <c r="I64" s="15" t="s">
        <v>108</v>
      </c>
      <c r="J64" s="7" t="e">
        <f t="shared" ca="1" si="0"/>
        <v>#NAME?</v>
      </c>
      <c r="K64" s="8" t="e">
        <f t="shared" ca="1" si="1"/>
        <v>#NAME?</v>
      </c>
      <c r="L64" s="7">
        <v>88.9</v>
      </c>
      <c r="M64" s="7">
        <v>9250</v>
      </c>
      <c r="N64" s="9">
        <f t="shared" si="2"/>
        <v>25.325119780971939</v>
      </c>
      <c r="O64" s="10">
        <v>39621</v>
      </c>
      <c r="P64" s="10">
        <v>44926</v>
      </c>
      <c r="Q64" s="7">
        <v>90.77</v>
      </c>
      <c r="R64" s="7">
        <v>4816</v>
      </c>
    </row>
    <row r="65" spans="1:18" ht="15" x14ac:dyDescent="0.25">
      <c r="A65" s="14">
        <v>64</v>
      </c>
      <c r="B65" s="14">
        <v>9455920</v>
      </c>
      <c r="C65" s="15" t="s">
        <v>109</v>
      </c>
      <c r="D65" s="15" t="s">
        <v>107</v>
      </c>
      <c r="E65" s="16">
        <v>34538</v>
      </c>
      <c r="F65" s="16">
        <v>45291</v>
      </c>
      <c r="G65" s="14">
        <v>61.237499999999997</v>
      </c>
      <c r="H65" s="14">
        <v>-149.88999999999999</v>
      </c>
      <c r="I65" s="15" t="s">
        <v>108</v>
      </c>
      <c r="J65" s="7" t="e">
        <f t="shared" ca="1" si="0"/>
        <v>#NAME?</v>
      </c>
      <c r="K65" s="8" t="e">
        <f t="shared" ca="1" si="1"/>
        <v>#NAME?</v>
      </c>
      <c r="L65" s="7">
        <v>84.02</v>
      </c>
      <c r="M65" s="7">
        <v>9035</v>
      </c>
      <c r="N65" s="9">
        <f t="shared" si="2"/>
        <v>24.736481861738536</v>
      </c>
      <c r="O65" s="10">
        <v>35266</v>
      </c>
      <c r="P65" s="10">
        <v>44926</v>
      </c>
      <c r="Q65" s="7">
        <v>97.19</v>
      </c>
      <c r="R65" s="7">
        <v>9390</v>
      </c>
    </row>
    <row r="66" spans="1:18" ht="15" x14ac:dyDescent="0.25">
      <c r="A66" s="14">
        <v>65</v>
      </c>
      <c r="B66" s="14">
        <v>9455500</v>
      </c>
      <c r="C66" s="15" t="s">
        <v>110</v>
      </c>
      <c r="D66" s="15" t="s">
        <v>107</v>
      </c>
      <c r="E66" s="16">
        <v>34497</v>
      </c>
      <c r="F66" s="16">
        <v>45291</v>
      </c>
      <c r="G66" s="14">
        <v>59.4405</v>
      </c>
      <c r="H66" s="14">
        <v>-151.72</v>
      </c>
      <c r="I66" s="15" t="s">
        <v>108</v>
      </c>
      <c r="J66" s="7" t="e">
        <f t="shared" ca="1" si="0"/>
        <v>#NAME?</v>
      </c>
      <c r="K66" s="8" t="e">
        <f t="shared" ca="1" si="1"/>
        <v>#NAME?</v>
      </c>
      <c r="L66" s="7">
        <v>95.19</v>
      </c>
      <c r="M66" s="7">
        <v>10276</v>
      </c>
      <c r="N66" s="9">
        <f t="shared" si="2"/>
        <v>28.134154688569474</v>
      </c>
      <c r="O66" s="17"/>
      <c r="P66" s="17"/>
      <c r="Q66" s="17"/>
      <c r="R66" s="17"/>
    </row>
    <row r="67" spans="1:18" ht="15" x14ac:dyDescent="0.25">
      <c r="A67" s="14">
        <v>66</v>
      </c>
      <c r="B67" s="14">
        <v>9454240</v>
      </c>
      <c r="C67" s="15" t="s">
        <v>111</v>
      </c>
      <c r="D67" s="15" t="s">
        <v>107</v>
      </c>
      <c r="E67" s="16">
        <v>34489</v>
      </c>
      <c r="F67" s="16">
        <v>45291</v>
      </c>
      <c r="G67" s="14">
        <v>61.125</v>
      </c>
      <c r="H67" s="14">
        <v>-146.36199999999999</v>
      </c>
      <c r="I67" s="15" t="s">
        <v>108</v>
      </c>
      <c r="J67" s="7" t="e">
        <f t="shared" ca="1" si="0"/>
        <v>#NAME?</v>
      </c>
      <c r="K67" s="8" t="e">
        <f t="shared" ca="1" si="1"/>
        <v>#NAME?</v>
      </c>
      <c r="L67" s="7">
        <v>91.12</v>
      </c>
      <c r="M67" s="7">
        <v>9843</v>
      </c>
      <c r="N67" s="9">
        <f t="shared" si="2"/>
        <v>26.948665297741272</v>
      </c>
      <c r="O67" s="10">
        <v>39953</v>
      </c>
      <c r="P67" s="10">
        <v>44926</v>
      </c>
      <c r="Q67" s="7">
        <v>97.37</v>
      </c>
      <c r="R67" s="7">
        <v>4843</v>
      </c>
    </row>
    <row r="68" spans="1:18" ht="15" x14ac:dyDescent="0.25">
      <c r="A68" s="14">
        <v>67</v>
      </c>
      <c r="B68" s="14">
        <v>9455090</v>
      </c>
      <c r="C68" s="15" t="s">
        <v>112</v>
      </c>
      <c r="D68" s="15" t="s">
        <v>107</v>
      </c>
      <c r="E68" s="16">
        <v>34492</v>
      </c>
      <c r="F68" s="16">
        <v>45291</v>
      </c>
      <c r="G68" s="14">
        <v>60.119300000000003</v>
      </c>
      <c r="H68" s="14">
        <v>-149.428</v>
      </c>
      <c r="I68" s="15" t="s">
        <v>108</v>
      </c>
      <c r="J68" s="7" t="e">
        <f t="shared" ca="1" si="0"/>
        <v>#NAME?</v>
      </c>
      <c r="K68" s="8" t="e">
        <f t="shared" ca="1" si="1"/>
        <v>#NAME?</v>
      </c>
      <c r="L68" s="7">
        <v>98.45</v>
      </c>
      <c r="M68" s="7">
        <v>10632</v>
      </c>
      <c r="N68" s="9">
        <f t="shared" si="2"/>
        <v>29.108829568788501</v>
      </c>
      <c r="O68" s="17"/>
      <c r="P68" s="17"/>
      <c r="Q68" s="17"/>
      <c r="R68" s="17"/>
    </row>
    <row r="69" spans="1:18" ht="15" x14ac:dyDescent="0.25">
      <c r="A69" s="14">
        <v>68</v>
      </c>
      <c r="B69" s="14">
        <v>9453220</v>
      </c>
      <c r="C69" s="15" t="s">
        <v>113</v>
      </c>
      <c r="D69" s="15" t="s">
        <v>107</v>
      </c>
      <c r="E69" s="16">
        <v>34505</v>
      </c>
      <c r="F69" s="16">
        <v>45291</v>
      </c>
      <c r="G69" s="14">
        <v>59.54833</v>
      </c>
      <c r="H69" s="14">
        <v>-139.733</v>
      </c>
      <c r="I69" s="15" t="s">
        <v>108</v>
      </c>
      <c r="J69" s="7" t="e">
        <f t="shared" ca="1" si="0"/>
        <v>#NAME?</v>
      </c>
      <c r="K69" s="8" t="e">
        <f t="shared" ca="1" si="1"/>
        <v>#NAME?</v>
      </c>
      <c r="L69" s="7">
        <v>96.74</v>
      </c>
      <c r="M69" s="7">
        <v>10434</v>
      </c>
      <c r="N69" s="9">
        <f t="shared" si="2"/>
        <v>28.566735112936346</v>
      </c>
      <c r="O69" s="17"/>
      <c r="P69" s="17"/>
      <c r="Q69" s="17"/>
      <c r="R69" s="17"/>
    </row>
    <row r="70" spans="1:18" ht="15" x14ac:dyDescent="0.25">
      <c r="A70" s="14">
        <v>69</v>
      </c>
      <c r="B70" s="14">
        <v>9452210</v>
      </c>
      <c r="C70" s="15" t="s">
        <v>114</v>
      </c>
      <c r="D70" s="15" t="s">
        <v>107</v>
      </c>
      <c r="E70" s="16">
        <v>34505</v>
      </c>
      <c r="F70" s="16">
        <v>45291</v>
      </c>
      <c r="G70" s="14">
        <v>58.2988</v>
      </c>
      <c r="H70" s="14">
        <v>-134.411</v>
      </c>
      <c r="I70" s="15" t="s">
        <v>108</v>
      </c>
      <c r="J70" s="7" t="e">
        <f t="shared" ca="1" si="0"/>
        <v>#NAME?</v>
      </c>
      <c r="K70" s="8" t="e">
        <f t="shared" ca="1" si="1"/>
        <v>#NAME?</v>
      </c>
      <c r="L70" s="7">
        <v>82.64</v>
      </c>
      <c r="M70" s="7">
        <v>8914</v>
      </c>
      <c r="N70" s="9">
        <f t="shared" si="2"/>
        <v>24.40520191649555</v>
      </c>
      <c r="O70" s="10">
        <v>39930</v>
      </c>
      <c r="P70" s="10">
        <v>44926</v>
      </c>
      <c r="Q70" s="7">
        <v>98</v>
      </c>
      <c r="R70" s="7">
        <v>4897</v>
      </c>
    </row>
    <row r="71" spans="1:18" ht="15" x14ac:dyDescent="0.25">
      <c r="A71" s="14">
        <v>70</v>
      </c>
      <c r="B71" s="14">
        <v>9451600</v>
      </c>
      <c r="C71" s="15" t="s">
        <v>115</v>
      </c>
      <c r="D71" s="15" t="s">
        <v>107</v>
      </c>
      <c r="E71" s="16">
        <v>34905</v>
      </c>
      <c r="F71" s="16">
        <v>45291</v>
      </c>
      <c r="G71" s="14">
        <v>57.051310000000001</v>
      </c>
      <c r="H71" s="14">
        <v>-135.34299999999999</v>
      </c>
      <c r="I71" s="15" t="s">
        <v>108</v>
      </c>
      <c r="J71" s="7" t="e">
        <f t="shared" ca="1" si="0"/>
        <v>#NAME?</v>
      </c>
      <c r="K71" s="8" t="e">
        <f t="shared" ca="1" si="1"/>
        <v>#NAME?</v>
      </c>
      <c r="L71" s="7">
        <v>96.93</v>
      </c>
      <c r="M71" s="7">
        <v>9786</v>
      </c>
      <c r="N71" s="9">
        <f t="shared" si="2"/>
        <v>26.792607802874745</v>
      </c>
      <c r="O71" s="10">
        <v>40050</v>
      </c>
      <c r="P71" s="10">
        <v>44926</v>
      </c>
      <c r="Q71" s="7">
        <v>98.81</v>
      </c>
      <c r="R71" s="7">
        <v>4819</v>
      </c>
    </row>
    <row r="72" spans="1:18" ht="15" x14ac:dyDescent="0.25">
      <c r="A72" s="14">
        <v>71</v>
      </c>
      <c r="B72" s="14">
        <v>9450460</v>
      </c>
      <c r="C72" s="15" t="s">
        <v>116</v>
      </c>
      <c r="D72" s="15" t="s">
        <v>107</v>
      </c>
      <c r="E72" s="16">
        <v>34500</v>
      </c>
      <c r="F72" s="16">
        <v>45291</v>
      </c>
      <c r="G72" s="14">
        <v>55.331940000000003</v>
      </c>
      <c r="H72" s="14">
        <v>-131.626</v>
      </c>
      <c r="I72" s="15" t="s">
        <v>108</v>
      </c>
      <c r="J72" s="7" t="e">
        <f t="shared" ca="1" si="0"/>
        <v>#NAME?</v>
      </c>
      <c r="K72" s="8" t="e">
        <f t="shared" ca="1" si="1"/>
        <v>#NAME?</v>
      </c>
      <c r="L72" s="7">
        <v>89.34</v>
      </c>
      <c r="M72" s="7">
        <v>9642</v>
      </c>
      <c r="N72" s="9">
        <f t="shared" si="2"/>
        <v>26.39835728952772</v>
      </c>
      <c r="O72" s="10">
        <v>39925</v>
      </c>
      <c r="P72" s="10">
        <v>44926</v>
      </c>
      <c r="Q72" s="7">
        <v>89.48</v>
      </c>
      <c r="R72" s="7">
        <v>4476</v>
      </c>
    </row>
    <row r="73" spans="1:18" ht="15" x14ac:dyDescent="0.25">
      <c r="A73" s="14">
        <v>72</v>
      </c>
      <c r="B73" s="14">
        <v>9449880</v>
      </c>
      <c r="C73" s="15" t="s">
        <v>117</v>
      </c>
      <c r="D73" s="15" t="s">
        <v>118</v>
      </c>
      <c r="E73" s="16">
        <v>33688</v>
      </c>
      <c r="F73" s="16">
        <v>45291</v>
      </c>
      <c r="G73" s="14">
        <v>48.545279999999998</v>
      </c>
      <c r="H73" s="14">
        <v>-123.01300000000001</v>
      </c>
      <c r="I73" s="15" t="s">
        <v>119</v>
      </c>
      <c r="J73" s="7" t="e">
        <f t="shared" ca="1" si="0"/>
        <v>#NAME?</v>
      </c>
      <c r="K73" s="8" t="e">
        <f t="shared" ca="1" si="1"/>
        <v>#NAME?</v>
      </c>
      <c r="L73" s="7">
        <v>92.97</v>
      </c>
      <c r="M73" s="7">
        <v>10788</v>
      </c>
      <c r="N73" s="9">
        <f t="shared" si="2"/>
        <v>29.535934291581111</v>
      </c>
      <c r="O73" s="17"/>
      <c r="P73" s="17"/>
      <c r="Q73" s="17"/>
      <c r="R73" s="17"/>
    </row>
    <row r="74" spans="1:18" ht="15" x14ac:dyDescent="0.25">
      <c r="A74" s="14">
        <v>73</v>
      </c>
      <c r="B74" s="14">
        <v>9444090</v>
      </c>
      <c r="C74" s="15" t="s">
        <v>120</v>
      </c>
      <c r="D74" s="15" t="s">
        <v>118</v>
      </c>
      <c r="E74" s="16">
        <v>35506</v>
      </c>
      <c r="F74" s="16">
        <v>45291</v>
      </c>
      <c r="G74" s="14">
        <v>48.125</v>
      </c>
      <c r="H74" s="14">
        <v>-123.44</v>
      </c>
      <c r="I74" s="15" t="s">
        <v>119</v>
      </c>
      <c r="J74" s="7" t="e">
        <f t="shared" ca="1" si="0"/>
        <v>#NAME?</v>
      </c>
      <c r="K74" s="8" t="e">
        <f t="shared" ca="1" si="1"/>
        <v>#NAME?</v>
      </c>
      <c r="L74" s="7">
        <v>95.4</v>
      </c>
      <c r="M74" s="7">
        <v>9333</v>
      </c>
      <c r="N74" s="9">
        <f t="shared" si="2"/>
        <v>25.552361396303901</v>
      </c>
      <c r="O74" s="10">
        <v>40129</v>
      </c>
      <c r="P74" s="10">
        <v>44926</v>
      </c>
      <c r="Q74" s="7">
        <v>97.1</v>
      </c>
      <c r="R74" s="7">
        <v>4659</v>
      </c>
    </row>
    <row r="75" spans="1:18" ht="15" x14ac:dyDescent="0.25">
      <c r="A75" s="14">
        <v>74</v>
      </c>
      <c r="B75" s="14">
        <v>9444900</v>
      </c>
      <c r="C75" s="15" t="s">
        <v>121</v>
      </c>
      <c r="D75" s="15" t="s">
        <v>118</v>
      </c>
      <c r="E75" s="16">
        <v>34432</v>
      </c>
      <c r="F75" s="16">
        <v>45291</v>
      </c>
      <c r="G75" s="14">
        <v>48.111220000000003</v>
      </c>
      <c r="H75" s="14">
        <v>-122.76</v>
      </c>
      <c r="I75" s="15" t="s">
        <v>119</v>
      </c>
      <c r="J75" s="7" t="e">
        <f t="shared" ca="1" si="0"/>
        <v>#NAME?</v>
      </c>
      <c r="K75" s="8" t="e">
        <f t="shared" ca="1" si="1"/>
        <v>#NAME?</v>
      </c>
      <c r="L75" s="7">
        <v>99.17</v>
      </c>
      <c r="M75" s="7">
        <v>10770</v>
      </c>
      <c r="N75" s="9">
        <f t="shared" si="2"/>
        <v>29.486652977412732</v>
      </c>
      <c r="O75" s="10">
        <v>39749</v>
      </c>
      <c r="P75" s="10">
        <v>44926</v>
      </c>
      <c r="Q75" s="7">
        <v>95.81</v>
      </c>
      <c r="R75" s="7">
        <v>4961</v>
      </c>
    </row>
    <row r="76" spans="1:18" ht="15" x14ac:dyDescent="0.25">
      <c r="A76" s="14">
        <v>75</v>
      </c>
      <c r="B76" s="14">
        <v>9447130</v>
      </c>
      <c r="C76" s="15" t="s">
        <v>122</v>
      </c>
      <c r="D76" s="15" t="s">
        <v>118</v>
      </c>
      <c r="E76" s="16">
        <v>33550</v>
      </c>
      <c r="F76" s="16">
        <v>45291</v>
      </c>
      <c r="G76" s="14">
        <v>47.602780000000003</v>
      </c>
      <c r="H76" s="14">
        <v>-122.339</v>
      </c>
      <c r="I76" s="15" t="s">
        <v>119</v>
      </c>
      <c r="J76" s="7" t="e">
        <f t="shared" ca="1" si="0"/>
        <v>#NAME?</v>
      </c>
      <c r="K76" s="8" t="e">
        <f t="shared" ca="1" si="1"/>
        <v>#NAME?</v>
      </c>
      <c r="L76" s="7">
        <v>98.56</v>
      </c>
      <c r="M76" s="7">
        <v>9722</v>
      </c>
      <c r="N76" s="9">
        <f t="shared" si="2"/>
        <v>26.617385352498289</v>
      </c>
      <c r="O76" s="10">
        <v>33604</v>
      </c>
      <c r="P76" s="10">
        <v>43467</v>
      </c>
      <c r="Q76" s="7">
        <v>93.22</v>
      </c>
      <c r="R76" s="7">
        <v>9195</v>
      </c>
    </row>
    <row r="77" spans="1:18" ht="15" x14ac:dyDescent="0.25">
      <c r="A77" s="14">
        <v>76</v>
      </c>
      <c r="B77" s="14">
        <v>9446484</v>
      </c>
      <c r="C77" s="15" t="s">
        <v>123</v>
      </c>
      <c r="D77" s="15" t="s">
        <v>118</v>
      </c>
      <c r="E77" s="16">
        <v>35268</v>
      </c>
      <c r="F77" s="16">
        <v>45291</v>
      </c>
      <c r="G77" s="14">
        <v>47.27</v>
      </c>
      <c r="H77" s="14">
        <v>-122.413</v>
      </c>
      <c r="I77" s="15" t="s">
        <v>119</v>
      </c>
      <c r="J77" s="7" t="e">
        <f t="shared" ca="1" si="0"/>
        <v>#NAME?</v>
      </c>
      <c r="K77" s="8" t="e">
        <f t="shared" ca="1" si="1"/>
        <v>#NAME?</v>
      </c>
      <c r="L77" s="7">
        <v>97.43</v>
      </c>
      <c r="M77" s="7">
        <v>9763</v>
      </c>
      <c r="N77" s="9">
        <f t="shared" si="2"/>
        <v>26.729637234770706</v>
      </c>
      <c r="O77" s="10">
        <v>39946</v>
      </c>
      <c r="P77" s="10">
        <v>44320</v>
      </c>
      <c r="Q77" s="7">
        <v>97.19</v>
      </c>
      <c r="R77" s="7">
        <v>4252</v>
      </c>
    </row>
    <row r="78" spans="1:18" ht="15" x14ac:dyDescent="0.25">
      <c r="A78" s="14">
        <v>77</v>
      </c>
      <c r="B78" s="14">
        <v>9440910</v>
      </c>
      <c r="C78" s="15" t="s">
        <v>124</v>
      </c>
      <c r="D78" s="15" t="s">
        <v>118</v>
      </c>
      <c r="E78" s="16">
        <v>34526</v>
      </c>
      <c r="F78" s="16">
        <v>45291</v>
      </c>
      <c r="G78" s="14">
        <v>46.707500000000003</v>
      </c>
      <c r="H78" s="14">
        <v>-123.967</v>
      </c>
      <c r="I78" s="15" t="s">
        <v>119</v>
      </c>
      <c r="J78" s="7" t="e">
        <f t="shared" ca="1" si="0"/>
        <v>#NAME?</v>
      </c>
      <c r="K78" s="8" t="e">
        <f t="shared" ca="1" si="1"/>
        <v>#NAME?</v>
      </c>
      <c r="L78" s="7">
        <v>89.52</v>
      </c>
      <c r="M78" s="7">
        <v>9637</v>
      </c>
      <c r="N78" s="9">
        <f t="shared" si="2"/>
        <v>26.38466803559206</v>
      </c>
      <c r="O78" s="10">
        <v>36679</v>
      </c>
      <c r="P78" s="10">
        <v>44926</v>
      </c>
      <c r="Q78" s="7">
        <v>90.69</v>
      </c>
      <c r="R78" s="7">
        <v>7480</v>
      </c>
    </row>
    <row r="79" spans="1:18" ht="15" x14ac:dyDescent="0.25">
      <c r="A79" s="14">
        <v>78</v>
      </c>
      <c r="B79" s="14">
        <v>9435380</v>
      </c>
      <c r="C79" s="15" t="s">
        <v>125</v>
      </c>
      <c r="D79" s="15" t="s">
        <v>126</v>
      </c>
      <c r="E79" s="16">
        <v>33215</v>
      </c>
      <c r="F79" s="16">
        <v>44840</v>
      </c>
      <c r="G79" s="14">
        <v>44.625399999999999</v>
      </c>
      <c r="H79" s="14">
        <v>-124.045</v>
      </c>
      <c r="I79" s="15" t="s">
        <v>119</v>
      </c>
      <c r="J79" s="7" t="e">
        <f t="shared" ca="1" si="0"/>
        <v>#NAME?</v>
      </c>
      <c r="K79" s="8" t="e">
        <f t="shared" ca="1" si="1"/>
        <v>#NAME?</v>
      </c>
      <c r="L79" s="7">
        <v>81.650000000000006</v>
      </c>
      <c r="M79" s="7">
        <v>9175</v>
      </c>
      <c r="N79" s="9">
        <f t="shared" si="2"/>
        <v>25.119780971937029</v>
      </c>
      <c r="O79" s="10">
        <v>33604</v>
      </c>
      <c r="P79" s="10">
        <v>44865</v>
      </c>
      <c r="Q79" s="7">
        <v>92.64</v>
      </c>
      <c r="R79" s="7">
        <v>10433</v>
      </c>
    </row>
    <row r="80" spans="1:18" ht="15" x14ac:dyDescent="0.25">
      <c r="A80" s="14">
        <v>79</v>
      </c>
      <c r="B80" s="14">
        <v>9432780</v>
      </c>
      <c r="C80" s="15" t="s">
        <v>127</v>
      </c>
      <c r="D80" s="15" t="s">
        <v>126</v>
      </c>
      <c r="E80" s="16">
        <v>34237</v>
      </c>
      <c r="F80" s="16">
        <v>45291</v>
      </c>
      <c r="G80" s="14">
        <v>43.344999999999999</v>
      </c>
      <c r="H80" s="14">
        <v>-124.322</v>
      </c>
      <c r="I80" s="15" t="s">
        <v>119</v>
      </c>
      <c r="J80" s="7" t="e">
        <f t="shared" ca="1" si="0"/>
        <v>#NAME?</v>
      </c>
      <c r="K80" s="8" t="e">
        <f t="shared" ca="1" si="1"/>
        <v>#NAME?</v>
      </c>
      <c r="L80" s="7">
        <v>89.65</v>
      </c>
      <c r="M80" s="7">
        <v>9911</v>
      </c>
      <c r="N80" s="9">
        <f t="shared" si="2"/>
        <v>27.134839151266256</v>
      </c>
      <c r="O80" s="10">
        <v>38613</v>
      </c>
      <c r="P80" s="10">
        <v>40987</v>
      </c>
      <c r="Q80" s="7">
        <v>89.85</v>
      </c>
      <c r="R80" s="7">
        <v>2134</v>
      </c>
    </row>
    <row r="81" spans="1:18" ht="15" x14ac:dyDescent="0.25">
      <c r="A81" s="14">
        <v>80</v>
      </c>
      <c r="B81" s="14">
        <v>9431647</v>
      </c>
      <c r="C81" s="15" t="s">
        <v>128</v>
      </c>
      <c r="D81" s="15" t="s">
        <v>126</v>
      </c>
      <c r="E81" s="16">
        <v>34234</v>
      </c>
      <c r="F81" s="16">
        <v>45291</v>
      </c>
      <c r="G81" s="14">
        <v>42.738970000000002</v>
      </c>
      <c r="H81" s="14">
        <v>-124.498</v>
      </c>
      <c r="I81" s="15" t="s">
        <v>119</v>
      </c>
      <c r="J81" s="7" t="e">
        <f t="shared" ca="1" si="0"/>
        <v>#NAME?</v>
      </c>
      <c r="K81" s="8" t="e">
        <f t="shared" ca="1" si="1"/>
        <v>#NAME?</v>
      </c>
      <c r="L81" s="7">
        <v>80.430000000000007</v>
      </c>
      <c r="M81" s="7">
        <v>8894</v>
      </c>
      <c r="N81" s="9">
        <f t="shared" si="2"/>
        <v>24.350444900752908</v>
      </c>
      <c r="O81" s="10">
        <v>37405</v>
      </c>
      <c r="P81" s="10">
        <v>44926</v>
      </c>
      <c r="Q81" s="7">
        <v>91.73</v>
      </c>
      <c r="R81" s="7">
        <v>6900</v>
      </c>
    </row>
    <row r="82" spans="1:18" ht="15" x14ac:dyDescent="0.25">
      <c r="A82" s="14">
        <v>81</v>
      </c>
      <c r="B82" s="14">
        <v>9419750</v>
      </c>
      <c r="C82" s="15" t="s">
        <v>129</v>
      </c>
      <c r="D82" s="15" t="s">
        <v>130</v>
      </c>
      <c r="E82" s="16">
        <v>34232</v>
      </c>
      <c r="F82" s="16">
        <v>45291</v>
      </c>
      <c r="G82" s="14">
        <v>41.745609999999999</v>
      </c>
      <c r="H82" s="14">
        <v>-124.184</v>
      </c>
      <c r="I82" s="15" t="s">
        <v>119</v>
      </c>
      <c r="J82" s="7" t="e">
        <f t="shared" ca="1" si="0"/>
        <v>#NAME?</v>
      </c>
      <c r="K82" s="8" t="e">
        <f t="shared" ca="1" si="1"/>
        <v>#NAME?</v>
      </c>
      <c r="L82" s="7">
        <v>95.57</v>
      </c>
      <c r="M82" s="7">
        <v>10570</v>
      </c>
      <c r="N82" s="9">
        <f t="shared" si="2"/>
        <v>28.939082819986311</v>
      </c>
      <c r="O82" s="10">
        <v>39647</v>
      </c>
      <c r="P82" s="10">
        <v>44926</v>
      </c>
      <c r="Q82" s="7">
        <v>98.41</v>
      </c>
      <c r="R82" s="7">
        <v>5196</v>
      </c>
    </row>
    <row r="83" spans="1:18" ht="15" x14ac:dyDescent="0.25">
      <c r="A83" s="14">
        <v>82</v>
      </c>
      <c r="B83" s="14">
        <v>9418767</v>
      </c>
      <c r="C83" s="15" t="s">
        <v>131</v>
      </c>
      <c r="D83" s="15" t="s">
        <v>130</v>
      </c>
      <c r="E83" s="16">
        <v>34236</v>
      </c>
      <c r="F83" s="16">
        <v>45291</v>
      </c>
      <c r="G83" s="14">
        <v>40.766910000000003</v>
      </c>
      <c r="H83" s="14">
        <v>-124.217</v>
      </c>
      <c r="I83" s="15" t="s">
        <v>119</v>
      </c>
      <c r="J83" s="7" t="e">
        <f t="shared" ca="1" si="0"/>
        <v>#NAME?</v>
      </c>
      <c r="K83" s="8" t="e">
        <f t="shared" ca="1" si="1"/>
        <v>#NAME?</v>
      </c>
      <c r="L83" s="7">
        <v>93</v>
      </c>
      <c r="M83" s="7">
        <v>10282</v>
      </c>
      <c r="N83" s="9">
        <f t="shared" si="2"/>
        <v>28.150581793292265</v>
      </c>
      <c r="O83" s="10">
        <v>39674</v>
      </c>
      <c r="P83" s="10">
        <v>40317</v>
      </c>
      <c r="Q83" s="7">
        <v>51.71</v>
      </c>
      <c r="R83" s="7">
        <v>333</v>
      </c>
    </row>
    <row r="84" spans="1:18" ht="15" x14ac:dyDescent="0.25">
      <c r="A84" s="14">
        <v>83</v>
      </c>
      <c r="B84" s="14">
        <v>9416841</v>
      </c>
      <c r="C84" s="15" t="s">
        <v>132</v>
      </c>
      <c r="D84" s="15" t="s">
        <v>130</v>
      </c>
      <c r="E84" s="16">
        <v>34230</v>
      </c>
      <c r="F84" s="16">
        <v>45291</v>
      </c>
      <c r="G84" s="14">
        <v>38.914560000000002</v>
      </c>
      <c r="H84" s="14">
        <v>-123.711</v>
      </c>
      <c r="I84" s="15" t="s">
        <v>119</v>
      </c>
      <c r="J84" s="7" t="e">
        <f t="shared" ca="1" si="0"/>
        <v>#NAME?</v>
      </c>
      <c r="K84" s="8" t="e">
        <f t="shared" ca="1" si="1"/>
        <v>#NAME?</v>
      </c>
      <c r="L84" s="7">
        <v>95.27</v>
      </c>
      <c r="M84" s="7">
        <v>10539</v>
      </c>
      <c r="N84" s="9">
        <f t="shared" si="2"/>
        <v>28.854209445585216</v>
      </c>
      <c r="O84" s="10">
        <v>37411</v>
      </c>
      <c r="P84" s="10">
        <v>44926</v>
      </c>
      <c r="Q84" s="7">
        <v>95.69</v>
      </c>
      <c r="R84" s="7">
        <v>7192</v>
      </c>
    </row>
    <row r="85" spans="1:18" ht="15" x14ac:dyDescent="0.25">
      <c r="A85" s="14">
        <v>84</v>
      </c>
      <c r="B85" s="14">
        <v>9415144</v>
      </c>
      <c r="C85" s="15" t="s">
        <v>133</v>
      </c>
      <c r="D85" s="15" t="s">
        <v>130</v>
      </c>
      <c r="E85" s="16">
        <v>34225</v>
      </c>
      <c r="F85" s="16">
        <v>45291</v>
      </c>
      <c r="G85" s="14">
        <v>38.055999999999997</v>
      </c>
      <c r="H85" s="14">
        <v>-122.04</v>
      </c>
      <c r="I85" s="15" t="s">
        <v>134</v>
      </c>
      <c r="J85" s="7" t="e">
        <f t="shared" ca="1" si="0"/>
        <v>#NAME?</v>
      </c>
      <c r="K85" s="8" t="e">
        <f t="shared" ca="1" si="1"/>
        <v>#NAME?</v>
      </c>
      <c r="L85" s="7">
        <v>96.89</v>
      </c>
      <c r="M85" s="7">
        <v>10723</v>
      </c>
      <c r="N85" s="9">
        <f t="shared" si="2"/>
        <v>29.357973990417523</v>
      </c>
      <c r="O85" s="10">
        <v>34559</v>
      </c>
      <c r="P85" s="10">
        <v>44926</v>
      </c>
      <c r="Q85" s="7">
        <v>96.49</v>
      </c>
      <c r="R85" s="7">
        <v>10004</v>
      </c>
    </row>
    <row r="86" spans="1:18" ht="15" x14ac:dyDescent="0.25">
      <c r="A86" s="14">
        <v>85</v>
      </c>
      <c r="B86" s="14">
        <v>9414863</v>
      </c>
      <c r="C86" s="15" t="s">
        <v>135</v>
      </c>
      <c r="D86" s="15" t="s">
        <v>130</v>
      </c>
      <c r="E86" s="16">
        <v>34947</v>
      </c>
      <c r="F86" s="16">
        <v>45291</v>
      </c>
      <c r="G86" s="14">
        <v>37.9283</v>
      </c>
      <c r="H86" s="14">
        <v>-122.4</v>
      </c>
      <c r="I86" s="15" t="s">
        <v>134</v>
      </c>
      <c r="J86" s="7" t="e">
        <f t="shared" ca="1" si="0"/>
        <v>#NAME?</v>
      </c>
      <c r="K86" s="8" t="e">
        <f t="shared" ca="1" si="1"/>
        <v>#NAME?</v>
      </c>
      <c r="L86" s="7">
        <v>85.79</v>
      </c>
      <c r="M86" s="7">
        <v>8874</v>
      </c>
      <c r="N86" s="9">
        <f t="shared" si="2"/>
        <v>24.295687885010267</v>
      </c>
      <c r="O86" s="10">
        <v>35106</v>
      </c>
      <c r="P86" s="10">
        <v>44926</v>
      </c>
      <c r="Q86" s="7">
        <v>91.25</v>
      </c>
      <c r="R86" s="7">
        <v>8962</v>
      </c>
    </row>
    <row r="87" spans="1:18" ht="15" x14ac:dyDescent="0.25">
      <c r="A87" s="14">
        <v>86</v>
      </c>
      <c r="B87" s="14">
        <v>9414750</v>
      </c>
      <c r="C87" s="15" t="s">
        <v>136</v>
      </c>
      <c r="D87" s="15" t="s">
        <v>130</v>
      </c>
      <c r="E87" s="16">
        <v>34213</v>
      </c>
      <c r="F87" s="16">
        <v>45291</v>
      </c>
      <c r="G87" s="14">
        <v>37.771949999999997</v>
      </c>
      <c r="H87" s="14">
        <v>-122.3</v>
      </c>
      <c r="I87" s="15" t="s">
        <v>134</v>
      </c>
      <c r="J87" s="7" t="e">
        <f t="shared" ca="1" si="0"/>
        <v>#NAME?</v>
      </c>
      <c r="K87" s="8" t="e">
        <f t="shared" ca="1" si="1"/>
        <v>#NAME?</v>
      </c>
      <c r="L87" s="7">
        <v>96.16</v>
      </c>
      <c r="M87" s="7">
        <v>10638</v>
      </c>
      <c r="N87" s="9">
        <f t="shared" si="2"/>
        <v>29.125256673511295</v>
      </c>
      <c r="O87" s="10">
        <v>35105</v>
      </c>
      <c r="P87" s="10">
        <v>44926</v>
      </c>
      <c r="Q87" s="7">
        <v>97.07</v>
      </c>
      <c r="R87" s="7">
        <v>9534</v>
      </c>
    </row>
    <row r="88" spans="1:18" ht="15" x14ac:dyDescent="0.25">
      <c r="A88" s="14">
        <v>87</v>
      </c>
      <c r="B88" s="14">
        <v>9414290</v>
      </c>
      <c r="C88" s="15" t="s">
        <v>137</v>
      </c>
      <c r="D88" s="15" t="s">
        <v>130</v>
      </c>
      <c r="E88" s="16">
        <v>34225</v>
      </c>
      <c r="F88" s="16">
        <v>45291</v>
      </c>
      <c r="G88" s="14">
        <v>37.806310000000003</v>
      </c>
      <c r="H88" s="14">
        <v>-122.46599999999999</v>
      </c>
      <c r="I88" s="15" t="s">
        <v>134</v>
      </c>
      <c r="J88" s="7" t="e">
        <f t="shared" ca="1" si="0"/>
        <v>#NAME?</v>
      </c>
      <c r="K88" s="8" t="e">
        <f t="shared" ca="1" si="1"/>
        <v>#NAME?</v>
      </c>
      <c r="L88" s="7">
        <v>93.26</v>
      </c>
      <c r="M88" s="7">
        <v>10321</v>
      </c>
      <c r="N88" s="9">
        <f t="shared" si="2"/>
        <v>28.257357973990416</v>
      </c>
      <c r="O88" s="10">
        <v>35108</v>
      </c>
      <c r="P88" s="10">
        <v>44926</v>
      </c>
      <c r="Q88" s="7">
        <v>94.66</v>
      </c>
      <c r="R88" s="7">
        <v>9295</v>
      </c>
    </row>
    <row r="89" spans="1:18" ht="15" x14ac:dyDescent="0.25">
      <c r="A89" s="14">
        <v>88</v>
      </c>
      <c r="B89" s="14">
        <v>9412110</v>
      </c>
      <c r="C89" s="15" t="s">
        <v>138</v>
      </c>
      <c r="D89" s="15" t="s">
        <v>130</v>
      </c>
      <c r="E89" s="16">
        <v>34216</v>
      </c>
      <c r="F89" s="16">
        <v>45291</v>
      </c>
      <c r="G89" s="14">
        <v>35.168889999999998</v>
      </c>
      <c r="H89" s="14">
        <v>-120.754</v>
      </c>
      <c r="I89" s="15" t="s">
        <v>134</v>
      </c>
      <c r="J89" s="7" t="e">
        <f t="shared" ca="1" si="0"/>
        <v>#NAME?</v>
      </c>
      <c r="K89" s="8" t="e">
        <f t="shared" ca="1" si="1"/>
        <v>#NAME?</v>
      </c>
      <c r="L89" s="7">
        <v>93.9</v>
      </c>
      <c r="M89" s="7">
        <v>10399</v>
      </c>
      <c r="N89" s="9">
        <f t="shared" si="2"/>
        <v>28.470910335386723</v>
      </c>
      <c r="O89" s="10">
        <v>39935</v>
      </c>
      <c r="P89" s="10">
        <v>44926</v>
      </c>
      <c r="Q89" s="7">
        <v>89.48</v>
      </c>
      <c r="R89" s="7">
        <v>4467</v>
      </c>
    </row>
    <row r="90" spans="1:18" ht="15" x14ac:dyDescent="0.25">
      <c r="A90" s="14">
        <v>89</v>
      </c>
      <c r="B90" s="14">
        <v>9410660</v>
      </c>
      <c r="C90" s="15" t="s">
        <v>139</v>
      </c>
      <c r="D90" s="15" t="s">
        <v>130</v>
      </c>
      <c r="E90" s="16">
        <v>34217</v>
      </c>
      <c r="F90" s="16">
        <v>44860</v>
      </c>
      <c r="G90" s="14">
        <v>33.72</v>
      </c>
      <c r="H90" s="14">
        <v>-118.27200000000001</v>
      </c>
      <c r="I90" s="15" t="s">
        <v>134</v>
      </c>
      <c r="J90" s="7" t="e">
        <f t="shared" ca="1" si="0"/>
        <v>#NAME?</v>
      </c>
      <c r="K90" s="8" t="e">
        <f t="shared" ca="1" si="1"/>
        <v>#NAME?</v>
      </c>
      <c r="L90" s="7">
        <v>85.81</v>
      </c>
      <c r="M90" s="7">
        <v>9134</v>
      </c>
      <c r="N90" s="9">
        <f t="shared" si="2"/>
        <v>25.007529089664612</v>
      </c>
      <c r="O90" s="17"/>
      <c r="P90" s="17"/>
      <c r="Q90" s="17"/>
      <c r="R90" s="17"/>
    </row>
    <row r="91" spans="1:18" ht="15" x14ac:dyDescent="0.25">
      <c r="A91" s="14">
        <v>90</v>
      </c>
      <c r="B91" s="14">
        <v>9410230</v>
      </c>
      <c r="C91" s="15" t="s">
        <v>140</v>
      </c>
      <c r="D91" s="15" t="s">
        <v>130</v>
      </c>
      <c r="E91" s="16">
        <v>34209</v>
      </c>
      <c r="F91" s="16">
        <v>45291</v>
      </c>
      <c r="G91" s="14">
        <v>32.866889999999998</v>
      </c>
      <c r="H91" s="14">
        <v>-117.25700000000001</v>
      </c>
      <c r="I91" s="15" t="s">
        <v>134</v>
      </c>
      <c r="J91" s="7" t="e">
        <f t="shared" ca="1" si="0"/>
        <v>#NAME?</v>
      </c>
      <c r="K91" s="8" t="e">
        <f t="shared" ca="1" si="1"/>
        <v>#NAME?</v>
      </c>
      <c r="L91" s="7">
        <v>92.62</v>
      </c>
      <c r="M91" s="7">
        <v>10264</v>
      </c>
      <c r="N91" s="9">
        <f t="shared" si="2"/>
        <v>28.101300479123889</v>
      </c>
      <c r="O91" s="10">
        <v>39919</v>
      </c>
      <c r="P91" s="10">
        <v>44926</v>
      </c>
      <c r="Q91" s="7">
        <v>98.56</v>
      </c>
      <c r="R91" s="7">
        <v>4936</v>
      </c>
    </row>
    <row r="92" spans="1:18" ht="15" x14ac:dyDescent="0.25">
      <c r="A92" s="14">
        <v>91</v>
      </c>
      <c r="B92" s="14">
        <v>1617433</v>
      </c>
      <c r="C92" s="15" t="s">
        <v>141</v>
      </c>
      <c r="D92" s="15" t="s">
        <v>142</v>
      </c>
      <c r="E92" s="16">
        <v>34363</v>
      </c>
      <c r="F92" s="16">
        <v>45291</v>
      </c>
      <c r="G92" s="14">
        <v>20.0366</v>
      </c>
      <c r="H92" s="14">
        <v>-155.82900000000001</v>
      </c>
      <c r="I92" s="15" t="s">
        <v>143</v>
      </c>
      <c r="J92" s="7" t="e">
        <f t="shared" ca="1" si="0"/>
        <v>#NAME?</v>
      </c>
      <c r="K92" s="8" t="e">
        <f t="shared" ca="1" si="1"/>
        <v>#NAME?</v>
      </c>
      <c r="L92" s="7">
        <v>91.25</v>
      </c>
      <c r="M92" s="7">
        <v>9972</v>
      </c>
      <c r="N92" s="9">
        <f t="shared" si="2"/>
        <v>27.301848049281315</v>
      </c>
      <c r="O92" s="10">
        <v>33604</v>
      </c>
      <c r="P92" s="10">
        <v>44926</v>
      </c>
      <c r="Q92" s="7">
        <v>92.1</v>
      </c>
      <c r="R92" s="7">
        <v>10429</v>
      </c>
    </row>
    <row r="93" spans="1:18" ht="15" x14ac:dyDescent="0.25">
      <c r="A93" s="14">
        <v>92</v>
      </c>
      <c r="B93" s="14">
        <v>1615680</v>
      </c>
      <c r="C93" s="15" t="s">
        <v>144</v>
      </c>
      <c r="D93" s="15" t="s">
        <v>142</v>
      </c>
      <c r="E93" s="16">
        <v>34373</v>
      </c>
      <c r="F93" s="16">
        <v>45291</v>
      </c>
      <c r="G93" s="14">
        <v>20.895</v>
      </c>
      <c r="H93" s="14">
        <v>-156.46899999999999</v>
      </c>
      <c r="I93" s="15" t="s">
        <v>143</v>
      </c>
      <c r="J93" s="7" t="e">
        <f t="shared" ca="1" si="0"/>
        <v>#NAME?</v>
      </c>
      <c r="K93" s="8" t="e">
        <f t="shared" ca="1" si="1"/>
        <v>#NAME?</v>
      </c>
      <c r="L93" s="7">
        <v>89.74</v>
      </c>
      <c r="M93" s="7">
        <v>9799</v>
      </c>
      <c r="N93" s="9">
        <f t="shared" si="2"/>
        <v>26.828199863107461</v>
      </c>
      <c r="O93" s="10">
        <v>33604</v>
      </c>
      <c r="P93" s="10">
        <v>44926</v>
      </c>
      <c r="Q93" s="7">
        <v>49.47</v>
      </c>
      <c r="R93" s="7">
        <v>5602</v>
      </c>
    </row>
    <row r="94" spans="1:18" ht="15" x14ac:dyDescent="0.25">
      <c r="A94" s="14">
        <v>93</v>
      </c>
      <c r="B94" s="14">
        <v>1612480</v>
      </c>
      <c r="C94" s="15" t="s">
        <v>145</v>
      </c>
      <c r="D94" s="15" t="s">
        <v>142</v>
      </c>
      <c r="E94" s="16">
        <v>34345</v>
      </c>
      <c r="F94" s="16">
        <v>45291</v>
      </c>
      <c r="G94" s="14">
        <v>21.433060000000001</v>
      </c>
      <c r="H94" s="14">
        <v>-157.79</v>
      </c>
      <c r="I94" s="15" t="s">
        <v>143</v>
      </c>
      <c r="J94" s="7" t="e">
        <f t="shared" ca="1" si="0"/>
        <v>#NAME?</v>
      </c>
      <c r="K94" s="8" t="e">
        <f t="shared" ca="1" si="1"/>
        <v>#NAME?</v>
      </c>
      <c r="L94" s="7">
        <v>87.33</v>
      </c>
      <c r="M94" s="7">
        <v>9559</v>
      </c>
      <c r="N94" s="9">
        <f t="shared" si="2"/>
        <v>26.171115674195757</v>
      </c>
      <c r="O94" s="17"/>
      <c r="P94" s="17"/>
      <c r="Q94" s="17"/>
      <c r="R94" s="17"/>
    </row>
    <row r="95" spans="1:18" ht="15" x14ac:dyDescent="0.25">
      <c r="A95" s="14">
        <v>94</v>
      </c>
      <c r="B95" s="14">
        <v>1619910</v>
      </c>
      <c r="C95" s="15" t="s">
        <v>146</v>
      </c>
      <c r="D95" s="15" t="s">
        <v>147</v>
      </c>
      <c r="E95" s="16">
        <v>34415</v>
      </c>
      <c r="F95" s="16">
        <v>45291</v>
      </c>
      <c r="G95" s="14">
        <v>28.211670000000002</v>
      </c>
      <c r="H95" s="14">
        <v>-177.36</v>
      </c>
      <c r="I95" s="15" t="s">
        <v>143</v>
      </c>
      <c r="J95" s="7" t="e">
        <f t="shared" ca="1" si="0"/>
        <v>#NAME?</v>
      </c>
      <c r="K95" s="8" t="e">
        <f t="shared" ca="1" si="1"/>
        <v>#NAME?</v>
      </c>
      <c r="L95" s="7">
        <v>87.79</v>
      </c>
      <c r="M95" s="7">
        <v>9546</v>
      </c>
      <c r="N95" s="9">
        <f t="shared" si="2"/>
        <v>26.135523613963038</v>
      </c>
      <c r="O95" s="10">
        <v>38671</v>
      </c>
      <c r="P95" s="10">
        <v>44724</v>
      </c>
      <c r="Q95" s="7">
        <v>89.26</v>
      </c>
      <c r="R95" s="7">
        <v>5404</v>
      </c>
    </row>
    <row r="96" spans="1:18" ht="15" x14ac:dyDescent="0.25">
      <c r="A96" s="14">
        <v>95</v>
      </c>
      <c r="B96" s="14">
        <v>1890000</v>
      </c>
      <c r="C96" s="15" t="s">
        <v>148</v>
      </c>
      <c r="D96" s="15" t="s">
        <v>149</v>
      </c>
      <c r="E96" s="16">
        <v>34404</v>
      </c>
      <c r="F96" s="16">
        <v>45291</v>
      </c>
      <c r="G96" s="14">
        <v>19.290559999999999</v>
      </c>
      <c r="H96" s="14">
        <v>166.61750000000001</v>
      </c>
      <c r="I96" s="15" t="s">
        <v>143</v>
      </c>
      <c r="J96" s="7" t="e">
        <f t="shared" ca="1" si="0"/>
        <v>#NAME?</v>
      </c>
      <c r="K96" s="8" t="e">
        <f t="shared" ca="1" si="1"/>
        <v>#NAME?</v>
      </c>
      <c r="L96" s="7">
        <v>87.89</v>
      </c>
      <c r="M96" s="7">
        <v>9570</v>
      </c>
      <c r="N96" s="9">
        <f t="shared" si="2"/>
        <v>26.201232032854211</v>
      </c>
      <c r="O96" s="10">
        <v>38950</v>
      </c>
      <c r="P96" s="10">
        <v>44926</v>
      </c>
      <c r="Q96" s="7">
        <v>83.6</v>
      </c>
      <c r="R96" s="7">
        <v>4997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6"/>
  <sheetViews>
    <sheetView workbookViewId="0"/>
  </sheetViews>
  <sheetFormatPr defaultColWidth="12.5703125" defaultRowHeight="15.75" customHeight="1" x14ac:dyDescent="0.2"/>
  <sheetData>
    <row r="1" spans="1:2" ht="15.75" customHeight="1" x14ac:dyDescent="0.25">
      <c r="A1" s="18" t="s">
        <v>150</v>
      </c>
      <c r="B1" s="18" t="s">
        <v>151</v>
      </c>
    </row>
    <row r="2" spans="1:2" ht="15.75" customHeight="1" x14ac:dyDescent="0.25">
      <c r="A2" s="19" t="s">
        <v>0</v>
      </c>
      <c r="B2" s="20" t="s">
        <v>152</v>
      </c>
    </row>
    <row r="3" spans="1:2" ht="15.75" customHeight="1" x14ac:dyDescent="0.25">
      <c r="A3" s="19" t="s">
        <v>1</v>
      </c>
      <c r="B3" s="20" t="s">
        <v>153</v>
      </c>
    </row>
    <row r="4" spans="1:2" ht="15.75" customHeight="1" x14ac:dyDescent="0.25">
      <c r="A4" s="19" t="s">
        <v>2</v>
      </c>
      <c r="B4" s="20" t="s">
        <v>154</v>
      </c>
    </row>
    <row r="5" spans="1:2" ht="15.75" customHeight="1" x14ac:dyDescent="0.25">
      <c r="A5" s="19" t="s">
        <v>3</v>
      </c>
      <c r="B5" s="20" t="s">
        <v>155</v>
      </c>
    </row>
    <row r="6" spans="1:2" ht="15.75" customHeight="1" x14ac:dyDescent="0.25">
      <c r="A6" s="19" t="s">
        <v>4</v>
      </c>
      <c r="B6" s="19" t="s">
        <v>156</v>
      </c>
    </row>
    <row r="7" spans="1:2" ht="15.75" customHeight="1" x14ac:dyDescent="0.25">
      <c r="A7" s="19" t="s">
        <v>5</v>
      </c>
      <c r="B7" s="19" t="s">
        <v>157</v>
      </c>
    </row>
    <row r="8" spans="1:2" ht="15.75" customHeight="1" x14ac:dyDescent="0.25">
      <c r="A8" s="19" t="s">
        <v>6</v>
      </c>
      <c r="B8" s="19" t="s">
        <v>158</v>
      </c>
    </row>
    <row r="9" spans="1:2" ht="15.75" customHeight="1" x14ac:dyDescent="0.25">
      <c r="A9" s="19" t="s">
        <v>7</v>
      </c>
      <c r="B9" s="19" t="s">
        <v>159</v>
      </c>
    </row>
    <row r="10" spans="1:2" ht="15.75" customHeight="1" x14ac:dyDescent="0.25">
      <c r="A10" s="19" t="s">
        <v>8</v>
      </c>
      <c r="B10" s="20" t="s">
        <v>160</v>
      </c>
    </row>
    <row r="11" spans="1:2" ht="15.75" customHeight="1" x14ac:dyDescent="0.25">
      <c r="A11" s="19" t="s">
        <v>9</v>
      </c>
      <c r="B11" s="19" t="s">
        <v>161</v>
      </c>
    </row>
    <row r="12" spans="1:2" ht="15.75" customHeight="1" x14ac:dyDescent="0.25">
      <c r="A12" s="19" t="s">
        <v>10</v>
      </c>
      <c r="B12" s="19" t="s">
        <v>162</v>
      </c>
    </row>
    <row r="13" spans="1:2" ht="15.75" customHeight="1" x14ac:dyDescent="0.25">
      <c r="A13" s="19" t="s">
        <v>11</v>
      </c>
      <c r="B13" s="19" t="s">
        <v>163</v>
      </c>
    </row>
    <row r="14" spans="1:2" ht="15.75" customHeight="1" x14ac:dyDescent="0.25">
      <c r="A14" s="19" t="s">
        <v>12</v>
      </c>
      <c r="B14" s="19" t="s">
        <v>164</v>
      </c>
    </row>
    <row r="15" spans="1:2" ht="15.75" customHeight="1" x14ac:dyDescent="0.25">
      <c r="A15" s="21" t="s">
        <v>13</v>
      </c>
      <c r="B15" s="19" t="s">
        <v>165</v>
      </c>
    </row>
    <row r="16" spans="1:2" ht="15.75" customHeight="1" x14ac:dyDescent="0.25">
      <c r="A16" s="19" t="s">
        <v>14</v>
      </c>
      <c r="B16" s="19" t="s">
        <v>166</v>
      </c>
    </row>
    <row r="17" spans="1:2" ht="15.75" customHeight="1" x14ac:dyDescent="0.25">
      <c r="A17" s="19" t="s">
        <v>15</v>
      </c>
      <c r="B17" s="19" t="s">
        <v>167</v>
      </c>
    </row>
    <row r="18" spans="1:2" ht="15.75" customHeight="1" x14ac:dyDescent="0.25">
      <c r="A18" s="19" t="s">
        <v>16</v>
      </c>
      <c r="B18" s="19" t="s">
        <v>168</v>
      </c>
    </row>
    <row r="19" spans="1:2" ht="15.75" customHeight="1" x14ac:dyDescent="0.25">
      <c r="A19" s="19" t="s">
        <v>17</v>
      </c>
      <c r="B19" s="19" t="s">
        <v>169</v>
      </c>
    </row>
    <row r="20" spans="1:2" ht="15.75" customHeight="1" x14ac:dyDescent="0.25">
      <c r="A20" s="21" t="s">
        <v>170</v>
      </c>
      <c r="B20" s="19" t="s">
        <v>171</v>
      </c>
    </row>
    <row r="21" spans="1:2" ht="15.75" customHeight="1" x14ac:dyDescent="0.25">
      <c r="A21" s="19" t="s">
        <v>172</v>
      </c>
      <c r="B21" s="19" t="s">
        <v>173</v>
      </c>
    </row>
    <row r="22" spans="1:2" ht="15.75" customHeight="1" x14ac:dyDescent="0.25">
      <c r="A22" s="19" t="s">
        <v>174</v>
      </c>
      <c r="B22" s="19" t="s">
        <v>175</v>
      </c>
    </row>
    <row r="23" spans="1:2" ht="15.75" customHeight="1" x14ac:dyDescent="0.25">
      <c r="A23" s="19" t="s">
        <v>176</v>
      </c>
      <c r="B23" s="19" t="s">
        <v>177</v>
      </c>
    </row>
    <row r="24" spans="1:2" ht="15.75" customHeight="1" x14ac:dyDescent="0.25">
      <c r="A24" s="19" t="s">
        <v>178</v>
      </c>
      <c r="B24" s="19" t="s">
        <v>179</v>
      </c>
    </row>
    <row r="25" spans="1:2" ht="15.75" customHeight="1" x14ac:dyDescent="0.25">
      <c r="A25" s="19" t="s">
        <v>180</v>
      </c>
      <c r="B25" s="19" t="s">
        <v>181</v>
      </c>
    </row>
    <row r="26" spans="1:2" ht="15.75" customHeight="1" x14ac:dyDescent="0.25">
      <c r="A26" s="21" t="s">
        <v>182</v>
      </c>
      <c r="B26" s="19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97"/>
  <sheetViews>
    <sheetView tabSelected="1" workbookViewId="0">
      <selection activeCell="S10" sqref="S10"/>
    </sheetView>
  </sheetViews>
  <sheetFormatPr defaultColWidth="12.5703125" defaultRowHeight="15.75" customHeight="1" x14ac:dyDescent="0.2"/>
  <cols>
    <col min="19" max="19" width="12.5703125" style="39"/>
  </cols>
  <sheetData>
    <row r="1" spans="1:19" ht="15.7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8</v>
      </c>
      <c r="F1" s="22" t="s">
        <v>184</v>
      </c>
      <c r="G1" s="22" t="s">
        <v>185</v>
      </c>
      <c r="H1" s="22" t="s">
        <v>186</v>
      </c>
      <c r="I1" s="22" t="s">
        <v>187</v>
      </c>
      <c r="J1" s="18" t="s">
        <v>188</v>
      </c>
      <c r="K1" s="18" t="s">
        <v>189</v>
      </c>
      <c r="L1" s="23" t="s">
        <v>190</v>
      </c>
      <c r="M1" s="22" t="s">
        <v>191</v>
      </c>
      <c r="N1" s="18" t="s">
        <v>192</v>
      </c>
      <c r="O1" s="18" t="s">
        <v>193</v>
      </c>
      <c r="P1" s="18" t="s">
        <v>194</v>
      </c>
      <c r="Q1" s="23" t="s">
        <v>195</v>
      </c>
      <c r="R1" s="18" t="s">
        <v>196</v>
      </c>
      <c r="S1" s="40" t="s">
        <v>273</v>
      </c>
    </row>
    <row r="2" spans="1:19" ht="15.75" customHeight="1" x14ac:dyDescent="0.25">
      <c r="A2" s="4">
        <v>1</v>
      </c>
      <c r="B2" s="4">
        <v>8410140</v>
      </c>
      <c r="C2" s="5" t="s">
        <v>18</v>
      </c>
      <c r="D2" s="5" t="s">
        <v>19</v>
      </c>
      <c r="E2" s="5" t="s">
        <v>20</v>
      </c>
      <c r="F2" s="8">
        <v>10.0644562</v>
      </c>
      <c r="G2" s="8">
        <v>23.613217509999998</v>
      </c>
      <c r="H2" s="8">
        <v>-13.54876131</v>
      </c>
      <c r="I2" s="8">
        <v>12.57374197</v>
      </c>
      <c r="J2" s="7">
        <v>255</v>
      </c>
      <c r="K2" s="7">
        <v>12.44</v>
      </c>
      <c r="L2" s="9">
        <v>258</v>
      </c>
      <c r="M2" s="8">
        <v>16.543263920000001</v>
      </c>
      <c r="N2" s="7">
        <v>212</v>
      </c>
      <c r="O2" s="7">
        <v>43</v>
      </c>
      <c r="P2" s="7">
        <v>37</v>
      </c>
      <c r="Q2" s="9">
        <v>9</v>
      </c>
      <c r="R2" s="7">
        <v>11</v>
      </c>
      <c r="S2" s="39">
        <v>-2</v>
      </c>
    </row>
    <row r="3" spans="1:19" ht="15.75" customHeight="1" x14ac:dyDescent="0.25">
      <c r="A3" s="4">
        <v>2</v>
      </c>
      <c r="B3" s="4">
        <v>8413320</v>
      </c>
      <c r="C3" s="5" t="s">
        <v>21</v>
      </c>
      <c r="D3" s="5" t="s">
        <v>19</v>
      </c>
      <c r="E3" s="5" t="s">
        <v>20</v>
      </c>
      <c r="F3" s="8">
        <v>14.42218699</v>
      </c>
      <c r="G3" s="8">
        <v>28.111440559999998</v>
      </c>
      <c r="H3" s="8">
        <v>-13.68925357</v>
      </c>
      <c r="I3" s="8">
        <v>14.829711400000001</v>
      </c>
      <c r="J3" s="7">
        <v>218</v>
      </c>
      <c r="K3" s="7">
        <v>14.53</v>
      </c>
      <c r="L3" s="9">
        <v>228</v>
      </c>
      <c r="M3" s="8">
        <v>20.765530300000002</v>
      </c>
      <c r="N3" s="7">
        <v>201</v>
      </c>
      <c r="O3" s="7">
        <v>17</v>
      </c>
      <c r="P3" s="7">
        <v>22</v>
      </c>
      <c r="Q3" s="9">
        <v>8</v>
      </c>
      <c r="R3" s="7">
        <v>6</v>
      </c>
      <c r="S3" s="39">
        <v>2</v>
      </c>
    </row>
    <row r="4" spans="1:19" ht="15.75" customHeight="1" x14ac:dyDescent="0.25">
      <c r="A4" s="4">
        <v>3</v>
      </c>
      <c r="B4" s="4">
        <v>8418150</v>
      </c>
      <c r="C4" s="5" t="s">
        <v>22</v>
      </c>
      <c r="D4" s="5" t="s">
        <v>19</v>
      </c>
      <c r="E4" s="5" t="s">
        <v>20</v>
      </c>
      <c r="F4" s="8">
        <v>14.750166610000001</v>
      </c>
      <c r="G4" s="8">
        <v>28.501650349999998</v>
      </c>
      <c r="H4" s="8">
        <v>-13.751483739999999</v>
      </c>
      <c r="I4" s="8">
        <v>16.474706690000001</v>
      </c>
      <c r="J4" s="7">
        <v>240</v>
      </c>
      <c r="K4" s="7">
        <v>16.170000000000002</v>
      </c>
      <c r="L4" s="9">
        <v>237</v>
      </c>
      <c r="M4" s="8">
        <v>22.967948719999999</v>
      </c>
      <c r="N4" s="7">
        <v>187</v>
      </c>
      <c r="O4" s="7">
        <v>53</v>
      </c>
      <c r="P4" s="7">
        <v>19</v>
      </c>
      <c r="Q4" s="9">
        <v>8</v>
      </c>
      <c r="R4" s="7">
        <v>6</v>
      </c>
      <c r="S4" s="39">
        <v>2</v>
      </c>
    </row>
    <row r="5" spans="1:19" ht="15.75" customHeight="1" x14ac:dyDescent="0.25">
      <c r="A5" s="4">
        <v>4</v>
      </c>
      <c r="B5" s="4">
        <v>8449130</v>
      </c>
      <c r="C5" s="5" t="s">
        <v>23</v>
      </c>
      <c r="D5" s="5" t="s">
        <v>24</v>
      </c>
      <c r="E5" s="5" t="s">
        <v>20</v>
      </c>
      <c r="F5" s="8">
        <v>22.936726669999999</v>
      </c>
      <c r="G5" s="8">
        <v>23.715830440000001</v>
      </c>
      <c r="H5" s="8">
        <v>-0.77910376999999997</v>
      </c>
      <c r="I5" s="8">
        <v>24.4985119</v>
      </c>
      <c r="J5" s="7">
        <v>224</v>
      </c>
      <c r="K5" s="7">
        <v>24.13</v>
      </c>
      <c r="L5" s="9">
        <v>219</v>
      </c>
      <c r="M5" s="8">
        <v>22.765705130000001</v>
      </c>
      <c r="N5" s="7">
        <v>209</v>
      </c>
      <c r="O5" s="7">
        <v>15</v>
      </c>
      <c r="P5" s="7">
        <v>1</v>
      </c>
      <c r="Q5" s="9">
        <v>8</v>
      </c>
      <c r="R5" s="7">
        <v>10</v>
      </c>
      <c r="S5" s="39">
        <v>-2</v>
      </c>
    </row>
    <row r="6" spans="1:19" ht="15.75" customHeight="1" x14ac:dyDescent="0.25">
      <c r="A6" s="4">
        <v>5</v>
      </c>
      <c r="B6" s="4">
        <v>8447930</v>
      </c>
      <c r="C6" s="5" t="s">
        <v>25</v>
      </c>
      <c r="D6" s="5" t="s">
        <v>24</v>
      </c>
      <c r="E6" s="5" t="s">
        <v>20</v>
      </c>
      <c r="F6" s="8">
        <v>21.56385053</v>
      </c>
      <c r="G6" s="8">
        <v>25.75658804</v>
      </c>
      <c r="H6" s="8">
        <v>-4.1927375099999997</v>
      </c>
      <c r="I6" s="8">
        <v>22.90940324</v>
      </c>
      <c r="J6" s="7">
        <v>223</v>
      </c>
      <c r="K6" s="7">
        <v>22.65</v>
      </c>
      <c r="L6" s="9">
        <v>222</v>
      </c>
      <c r="M6" s="8">
        <v>23.097628879999998</v>
      </c>
      <c r="N6" s="7">
        <v>211</v>
      </c>
      <c r="O6" s="7">
        <v>12</v>
      </c>
      <c r="P6" s="7">
        <v>8</v>
      </c>
      <c r="Q6" s="9">
        <v>8</v>
      </c>
      <c r="R6" s="7">
        <v>10</v>
      </c>
      <c r="S6" s="39">
        <v>-2</v>
      </c>
    </row>
    <row r="7" spans="1:19" ht="15.75" customHeight="1" x14ac:dyDescent="0.25">
      <c r="A7" s="4">
        <v>6</v>
      </c>
      <c r="B7" s="4">
        <v>8454000</v>
      </c>
      <c r="C7" s="5" t="s">
        <v>26</v>
      </c>
      <c r="D7" s="5" t="s">
        <v>27</v>
      </c>
      <c r="E7" s="5" t="s">
        <v>20</v>
      </c>
      <c r="F7" s="8">
        <v>21.32847524</v>
      </c>
      <c r="G7" s="8">
        <v>29.898051689999999</v>
      </c>
      <c r="H7" s="8">
        <v>-8.5695764499999996</v>
      </c>
      <c r="I7" s="8">
        <v>23.834682170000001</v>
      </c>
      <c r="J7" s="7">
        <v>223</v>
      </c>
      <c r="K7" s="7">
        <v>23.34</v>
      </c>
      <c r="L7" s="9">
        <v>218</v>
      </c>
      <c r="M7" s="8">
        <v>24.971863460000002</v>
      </c>
      <c r="N7" s="7">
        <v>201</v>
      </c>
      <c r="O7" s="7">
        <v>22</v>
      </c>
      <c r="P7" s="7">
        <v>12</v>
      </c>
      <c r="Q7" s="9">
        <v>8</v>
      </c>
      <c r="R7" s="7">
        <v>7</v>
      </c>
      <c r="S7" s="39">
        <v>1</v>
      </c>
    </row>
    <row r="8" spans="1:19" ht="15.75" customHeight="1" x14ac:dyDescent="0.25">
      <c r="A8" s="4">
        <v>7</v>
      </c>
      <c r="B8" s="4">
        <v>8452944</v>
      </c>
      <c r="C8" s="5" t="s">
        <v>28</v>
      </c>
      <c r="D8" s="5" t="s">
        <v>27</v>
      </c>
      <c r="E8" s="5" t="s">
        <v>20</v>
      </c>
      <c r="F8" s="8">
        <v>22.360284190000002</v>
      </c>
      <c r="G8" s="8">
        <v>27.327362319999999</v>
      </c>
      <c r="H8" s="8">
        <v>-4.96707813</v>
      </c>
      <c r="I8" s="8">
        <v>24.808632750000001</v>
      </c>
      <c r="J8" s="7">
        <v>217</v>
      </c>
      <c r="K8" s="7">
        <v>24.31</v>
      </c>
      <c r="L8" s="9">
        <v>216</v>
      </c>
      <c r="M8" s="8">
        <v>23.759415109999999</v>
      </c>
      <c r="N8" s="7">
        <v>200</v>
      </c>
      <c r="O8" s="7">
        <v>17</v>
      </c>
      <c r="P8" s="7">
        <v>7</v>
      </c>
      <c r="Q8" s="9">
        <v>8</v>
      </c>
      <c r="R8" s="7">
        <v>10</v>
      </c>
      <c r="S8" s="39">
        <v>-2</v>
      </c>
    </row>
    <row r="9" spans="1:19" ht="15.75" customHeight="1" x14ac:dyDescent="0.25">
      <c r="A9" s="4">
        <v>8</v>
      </c>
      <c r="B9" s="4">
        <v>8447386</v>
      </c>
      <c r="C9" s="5" t="s">
        <v>29</v>
      </c>
      <c r="D9" s="5" t="s">
        <v>24</v>
      </c>
      <c r="E9" s="5" t="s">
        <v>20</v>
      </c>
      <c r="F9" s="8">
        <v>22.712498579999998</v>
      </c>
      <c r="G9" s="8">
        <v>27.632550030000001</v>
      </c>
      <c r="H9" s="8">
        <v>-4.9200514499999999</v>
      </c>
      <c r="I9" s="8">
        <v>25.338934429999998</v>
      </c>
      <c r="J9" s="7">
        <v>217</v>
      </c>
      <c r="K9" s="7">
        <v>24.74</v>
      </c>
      <c r="L9" s="9">
        <v>217</v>
      </c>
      <c r="M9" s="8">
        <v>24.693508990000002</v>
      </c>
      <c r="N9" s="7">
        <v>201</v>
      </c>
      <c r="O9" s="7">
        <v>16</v>
      </c>
      <c r="P9" s="7">
        <v>9</v>
      </c>
      <c r="Q9" s="9">
        <v>8</v>
      </c>
      <c r="R9" s="7">
        <v>10</v>
      </c>
      <c r="S9" s="39">
        <v>-2</v>
      </c>
    </row>
    <row r="10" spans="1:19" ht="15.75" customHeight="1" x14ac:dyDescent="0.25">
      <c r="A10" s="4">
        <v>9</v>
      </c>
      <c r="B10" s="4">
        <v>8454049</v>
      </c>
      <c r="C10" s="5" t="s">
        <v>30</v>
      </c>
      <c r="D10" s="5" t="s">
        <v>27</v>
      </c>
      <c r="E10" s="5" t="s">
        <v>20</v>
      </c>
      <c r="F10" s="8">
        <v>21.425914349999999</v>
      </c>
      <c r="G10" s="8">
        <v>27.021881499999999</v>
      </c>
      <c r="H10" s="8">
        <v>-5.5959671499999999</v>
      </c>
      <c r="I10" s="8">
        <v>23.41764658</v>
      </c>
      <c r="J10" s="7">
        <v>214</v>
      </c>
      <c r="K10" s="7">
        <v>23.13</v>
      </c>
      <c r="L10" s="9">
        <v>218</v>
      </c>
      <c r="M10" s="8">
        <v>23.800150970000001</v>
      </c>
      <c r="N10" s="7">
        <v>201</v>
      </c>
      <c r="O10" s="7">
        <v>13</v>
      </c>
      <c r="P10" s="7">
        <v>8</v>
      </c>
      <c r="Q10" s="9">
        <v>8</v>
      </c>
      <c r="R10" s="7">
        <v>10</v>
      </c>
      <c r="S10" s="39">
        <v>-2</v>
      </c>
    </row>
    <row r="11" spans="1:19" ht="15.75" customHeight="1" x14ac:dyDescent="0.25">
      <c r="A11" s="4">
        <v>10</v>
      </c>
      <c r="B11" s="4">
        <v>8452660</v>
      </c>
      <c r="C11" s="5" t="s">
        <v>31</v>
      </c>
      <c r="D11" s="5" t="s">
        <v>27</v>
      </c>
      <c r="E11" s="5" t="s">
        <v>20</v>
      </c>
      <c r="F11" s="8">
        <v>18.756491130000001</v>
      </c>
      <c r="G11" s="8">
        <v>25.862931150000001</v>
      </c>
      <c r="H11" s="8">
        <v>-7.10644002</v>
      </c>
      <c r="I11" s="8">
        <v>21.675816619999999</v>
      </c>
      <c r="J11" s="7">
        <v>216</v>
      </c>
      <c r="K11" s="7">
        <v>21.41</v>
      </c>
      <c r="L11" s="9">
        <v>221</v>
      </c>
      <c r="M11" s="8">
        <v>22.907638290000001</v>
      </c>
      <c r="N11" s="7">
        <v>211</v>
      </c>
      <c r="O11" s="7">
        <v>5</v>
      </c>
      <c r="P11" s="7">
        <v>11</v>
      </c>
      <c r="Q11" s="9">
        <v>8</v>
      </c>
      <c r="R11" s="7">
        <v>10</v>
      </c>
      <c r="S11" s="39">
        <v>-2</v>
      </c>
    </row>
    <row r="12" spans="1:19" ht="15.75" customHeight="1" x14ac:dyDescent="0.25">
      <c r="A12" s="4">
        <v>11</v>
      </c>
      <c r="B12" s="4">
        <v>8461490</v>
      </c>
      <c r="C12" s="5" t="s">
        <v>32</v>
      </c>
      <c r="D12" s="5" t="s">
        <v>33</v>
      </c>
      <c r="E12" s="5" t="s">
        <v>20</v>
      </c>
      <c r="F12" s="8">
        <v>19.081101910000001</v>
      </c>
      <c r="G12" s="8">
        <v>27.637734850000001</v>
      </c>
      <c r="H12" s="8">
        <v>-8.5566329400000001</v>
      </c>
      <c r="I12" s="8">
        <v>22.248885170000001</v>
      </c>
      <c r="J12" s="7">
        <v>223</v>
      </c>
      <c r="K12" s="7">
        <v>21.95</v>
      </c>
      <c r="L12" s="9">
        <v>229</v>
      </c>
      <c r="M12" s="8">
        <v>24.988151519999999</v>
      </c>
      <c r="N12" s="7">
        <v>201</v>
      </c>
      <c r="O12" s="7">
        <v>22</v>
      </c>
      <c r="P12" s="7">
        <v>19</v>
      </c>
      <c r="Q12" s="9">
        <v>8</v>
      </c>
      <c r="R12" s="7">
        <v>9</v>
      </c>
      <c r="S12" s="39">
        <v>-1</v>
      </c>
    </row>
    <row r="13" spans="1:19" ht="15.75" customHeight="1" x14ac:dyDescent="0.25">
      <c r="A13" s="4">
        <v>12</v>
      </c>
      <c r="B13" s="4">
        <v>8465705</v>
      </c>
      <c r="C13" s="5" t="s">
        <v>34</v>
      </c>
      <c r="D13" s="5" t="s">
        <v>33</v>
      </c>
      <c r="E13" s="5" t="s">
        <v>20</v>
      </c>
      <c r="F13" s="8">
        <v>22.746189000000001</v>
      </c>
      <c r="G13" s="8">
        <v>26.32295482</v>
      </c>
      <c r="H13" s="8">
        <v>-3.5767658199999999</v>
      </c>
      <c r="I13" s="8">
        <v>24.583547759999998</v>
      </c>
      <c r="J13" s="7">
        <v>218</v>
      </c>
      <c r="K13" s="7">
        <v>24.19</v>
      </c>
      <c r="L13" s="9">
        <v>227</v>
      </c>
      <c r="M13" s="8">
        <v>23.23751803</v>
      </c>
      <c r="N13" s="7">
        <v>199</v>
      </c>
      <c r="O13" s="7">
        <v>19</v>
      </c>
      <c r="P13" s="7">
        <v>13</v>
      </c>
      <c r="Q13" s="9">
        <v>8</v>
      </c>
      <c r="R13" s="7">
        <v>10</v>
      </c>
      <c r="S13" s="39">
        <v>-2</v>
      </c>
    </row>
    <row r="14" spans="1:19" ht="15.75" customHeight="1" x14ac:dyDescent="0.25">
      <c r="A14" s="4">
        <v>13</v>
      </c>
      <c r="B14" s="4">
        <v>8516945</v>
      </c>
      <c r="C14" s="5" t="s">
        <v>35</v>
      </c>
      <c r="D14" s="5" t="s">
        <v>36</v>
      </c>
      <c r="E14" s="5" t="s">
        <v>20</v>
      </c>
      <c r="F14" s="8">
        <v>22.023771350000001</v>
      </c>
      <c r="G14" s="8">
        <v>26.890108949999998</v>
      </c>
      <c r="H14" s="8">
        <v>-4.8663375999999996</v>
      </c>
      <c r="I14" s="8">
        <v>23.320242069999999</v>
      </c>
      <c r="J14" s="7">
        <v>242</v>
      </c>
      <c r="K14" s="7">
        <v>23.11</v>
      </c>
      <c r="L14" s="9">
        <v>236</v>
      </c>
      <c r="M14" s="8">
        <v>25.117493970000002</v>
      </c>
      <c r="N14" s="7">
        <v>199</v>
      </c>
      <c r="O14" s="7">
        <v>43</v>
      </c>
      <c r="P14" s="7">
        <v>14</v>
      </c>
      <c r="Q14" s="9">
        <v>8</v>
      </c>
      <c r="R14" s="7">
        <v>9</v>
      </c>
      <c r="S14" s="39">
        <v>-1</v>
      </c>
    </row>
    <row r="15" spans="1:19" ht="15.75" customHeight="1" x14ac:dyDescent="0.25">
      <c r="A15" s="4">
        <v>14</v>
      </c>
      <c r="B15" s="4">
        <v>8519483</v>
      </c>
      <c r="C15" s="5" t="s">
        <v>37</v>
      </c>
      <c r="D15" s="5" t="s">
        <v>36</v>
      </c>
      <c r="E15" s="5" t="s">
        <v>20</v>
      </c>
      <c r="F15" s="8">
        <v>21.726867080000002</v>
      </c>
      <c r="G15" s="8">
        <v>27.84938782</v>
      </c>
      <c r="H15" s="8">
        <v>-6.1225207399999997</v>
      </c>
      <c r="I15" s="8">
        <v>24.53153232</v>
      </c>
      <c r="J15" s="7">
        <v>217</v>
      </c>
      <c r="K15" s="7">
        <v>24.33</v>
      </c>
      <c r="L15" s="9">
        <v>220</v>
      </c>
      <c r="M15" s="8">
        <v>26.345847989999999</v>
      </c>
      <c r="N15" s="7">
        <v>200</v>
      </c>
      <c r="O15" s="7">
        <v>17</v>
      </c>
      <c r="P15" s="7">
        <v>13</v>
      </c>
      <c r="Q15" s="9">
        <v>8</v>
      </c>
      <c r="R15" s="7">
        <v>9</v>
      </c>
      <c r="S15" s="39">
        <v>-1</v>
      </c>
    </row>
    <row r="16" spans="1:19" ht="15.75" customHeight="1" x14ac:dyDescent="0.25">
      <c r="A16" s="4">
        <v>15</v>
      </c>
      <c r="B16" s="4">
        <v>8531680</v>
      </c>
      <c r="C16" s="5" t="s">
        <v>38</v>
      </c>
      <c r="D16" s="5" t="s">
        <v>39</v>
      </c>
      <c r="E16" s="5" t="s">
        <v>20</v>
      </c>
      <c r="F16" s="8">
        <v>23.63038791</v>
      </c>
      <c r="G16" s="8">
        <v>27.811251930000001</v>
      </c>
      <c r="H16" s="8">
        <v>-4.1808640199999996</v>
      </c>
      <c r="I16" s="8">
        <v>25.692820690000001</v>
      </c>
      <c r="J16" s="7">
        <v>216</v>
      </c>
      <c r="K16" s="7">
        <v>25.3</v>
      </c>
      <c r="L16" s="9">
        <v>216</v>
      </c>
      <c r="M16" s="8">
        <v>25.709726450000002</v>
      </c>
      <c r="N16" s="7">
        <v>201</v>
      </c>
      <c r="O16" s="7">
        <v>15</v>
      </c>
      <c r="P16" s="7">
        <v>4</v>
      </c>
      <c r="Q16" s="9">
        <v>8</v>
      </c>
      <c r="R16" s="7">
        <v>9</v>
      </c>
      <c r="S16" s="39">
        <v>-1</v>
      </c>
    </row>
    <row r="17" spans="1:19" ht="15.75" customHeight="1" x14ac:dyDescent="0.25">
      <c r="A17" s="4">
        <v>16</v>
      </c>
      <c r="B17" s="4">
        <v>8534720</v>
      </c>
      <c r="C17" s="5" t="s">
        <v>40</v>
      </c>
      <c r="D17" s="5" t="s">
        <v>39</v>
      </c>
      <c r="E17" s="5" t="s">
        <v>20</v>
      </c>
      <c r="F17" s="8">
        <v>20.729731489999999</v>
      </c>
      <c r="G17" s="8">
        <v>25.64846202</v>
      </c>
      <c r="H17" s="8">
        <v>-4.9187305300000004</v>
      </c>
      <c r="I17" s="8">
        <v>23.669239009999998</v>
      </c>
      <c r="J17" s="7">
        <v>241</v>
      </c>
      <c r="K17" s="7">
        <v>23.02</v>
      </c>
      <c r="L17" s="9">
        <v>237</v>
      </c>
      <c r="M17" s="8">
        <v>24.5346148</v>
      </c>
      <c r="N17" s="7">
        <v>199</v>
      </c>
      <c r="O17" s="7">
        <v>42</v>
      </c>
      <c r="P17" s="7">
        <v>11</v>
      </c>
      <c r="Q17" s="9">
        <v>8</v>
      </c>
      <c r="R17" s="7">
        <v>9</v>
      </c>
      <c r="S17" s="39">
        <v>-1</v>
      </c>
    </row>
    <row r="18" spans="1:19" ht="15.75" customHeight="1" x14ac:dyDescent="0.25">
      <c r="A18" s="4">
        <v>17</v>
      </c>
      <c r="B18" s="4">
        <v>8548989</v>
      </c>
      <c r="C18" s="5" t="s">
        <v>41</v>
      </c>
      <c r="D18" s="5" t="s">
        <v>42</v>
      </c>
      <c r="E18" s="5" t="s">
        <v>20</v>
      </c>
      <c r="F18" s="8">
        <v>26.439821210000002</v>
      </c>
      <c r="G18" s="8">
        <v>28.489476119999999</v>
      </c>
      <c r="H18" s="8">
        <v>-2.0496549100000001</v>
      </c>
      <c r="I18" s="8">
        <v>27.944394280000001</v>
      </c>
      <c r="J18" s="7">
        <v>203</v>
      </c>
      <c r="K18" s="7">
        <v>26.82</v>
      </c>
      <c r="L18" s="9">
        <v>208</v>
      </c>
      <c r="M18" s="8">
        <v>26.461567559999999</v>
      </c>
      <c r="N18" s="7">
        <v>200</v>
      </c>
      <c r="O18" s="7">
        <v>3</v>
      </c>
      <c r="P18" s="7">
        <v>2</v>
      </c>
      <c r="Q18" s="9">
        <v>7</v>
      </c>
      <c r="R18" s="7">
        <v>9</v>
      </c>
      <c r="S18" s="39">
        <v>-2</v>
      </c>
    </row>
    <row r="19" spans="1:19" ht="15.75" customHeight="1" x14ac:dyDescent="0.25">
      <c r="A19" s="4">
        <v>18</v>
      </c>
      <c r="B19" s="4">
        <v>8539094</v>
      </c>
      <c r="C19" s="5" t="s">
        <v>43</v>
      </c>
      <c r="D19" s="5" t="s">
        <v>39</v>
      </c>
      <c r="E19" s="5" t="s">
        <v>20</v>
      </c>
      <c r="F19" s="8">
        <v>26.232462259999998</v>
      </c>
      <c r="G19" s="8">
        <v>29.065734410000001</v>
      </c>
      <c r="H19" s="8">
        <v>-2.83327215</v>
      </c>
      <c r="I19" s="8">
        <v>27.390191340000001</v>
      </c>
      <c r="J19" s="7">
        <v>204</v>
      </c>
      <c r="K19" s="7">
        <v>26.6</v>
      </c>
      <c r="L19" s="9">
        <v>210</v>
      </c>
      <c r="M19" s="8">
        <v>26.760729229999999</v>
      </c>
      <c r="N19" s="7">
        <v>200</v>
      </c>
      <c r="O19" s="7">
        <v>4</v>
      </c>
      <c r="P19" s="7">
        <v>3</v>
      </c>
      <c r="Q19" s="9">
        <v>7</v>
      </c>
      <c r="R19" s="7">
        <v>9</v>
      </c>
      <c r="S19" s="39">
        <v>-2</v>
      </c>
    </row>
    <row r="20" spans="1:19" ht="15.75" customHeight="1" x14ac:dyDescent="0.25">
      <c r="A20" s="4">
        <v>19</v>
      </c>
      <c r="B20" s="4">
        <v>8545240</v>
      </c>
      <c r="C20" s="5" t="s">
        <v>44</v>
      </c>
      <c r="D20" s="5" t="s">
        <v>42</v>
      </c>
      <c r="E20" s="5" t="s">
        <v>20</v>
      </c>
      <c r="F20" s="8">
        <v>24.931781730000001</v>
      </c>
      <c r="G20" s="8">
        <v>30.000959600000002</v>
      </c>
      <c r="H20" s="8">
        <v>-5.0691778699999999</v>
      </c>
      <c r="I20" s="8">
        <v>26.908920760000001</v>
      </c>
      <c r="J20" s="7">
        <v>216</v>
      </c>
      <c r="K20" s="7">
        <v>26.58</v>
      </c>
      <c r="L20" s="9">
        <v>212</v>
      </c>
      <c r="M20" s="8">
        <v>28.246766489999999</v>
      </c>
      <c r="N20" s="7">
        <v>200</v>
      </c>
      <c r="O20" s="7">
        <v>16</v>
      </c>
      <c r="P20" s="7">
        <v>7</v>
      </c>
      <c r="Q20" s="9">
        <v>8</v>
      </c>
      <c r="R20" s="7">
        <v>9</v>
      </c>
      <c r="S20" s="39">
        <v>-1</v>
      </c>
    </row>
    <row r="21" spans="1:19" ht="15.75" customHeight="1" x14ac:dyDescent="0.25">
      <c r="A21" s="4">
        <v>20</v>
      </c>
      <c r="B21" s="4">
        <v>8551910</v>
      </c>
      <c r="C21" s="5" t="s">
        <v>45</v>
      </c>
      <c r="D21" s="5" t="s">
        <v>46</v>
      </c>
      <c r="E21" s="5" t="s">
        <v>20</v>
      </c>
      <c r="F21" s="8">
        <v>26.23269063</v>
      </c>
      <c r="G21" s="8">
        <v>28.642149010000001</v>
      </c>
      <c r="H21" s="8">
        <v>-2.4094583799999998</v>
      </c>
      <c r="I21" s="8">
        <v>28.353139039999999</v>
      </c>
      <c r="J21" s="7">
        <v>205</v>
      </c>
      <c r="K21" s="7">
        <v>27.91</v>
      </c>
      <c r="L21" s="9">
        <v>213</v>
      </c>
      <c r="M21" s="8">
        <v>27.26883939</v>
      </c>
      <c r="N21" s="7">
        <v>200</v>
      </c>
      <c r="O21" s="7">
        <v>5</v>
      </c>
      <c r="P21" s="7">
        <v>7</v>
      </c>
      <c r="Q21" s="9">
        <v>7</v>
      </c>
      <c r="R21" s="7">
        <v>9</v>
      </c>
      <c r="S21" s="39">
        <v>-2</v>
      </c>
    </row>
    <row r="22" spans="1:19" ht="15.75" customHeight="1" x14ac:dyDescent="0.25">
      <c r="A22" s="4">
        <v>21</v>
      </c>
      <c r="B22" s="4">
        <v>8536110</v>
      </c>
      <c r="C22" s="5" t="s">
        <v>47</v>
      </c>
      <c r="D22" s="5" t="s">
        <v>39</v>
      </c>
      <c r="E22" s="5" t="s">
        <v>20</v>
      </c>
      <c r="F22" s="8">
        <v>21.73132227</v>
      </c>
      <c r="G22" s="8">
        <v>25.657373499999999</v>
      </c>
      <c r="H22" s="8">
        <v>-3.9260512300000001</v>
      </c>
      <c r="I22" s="8">
        <v>24.731712909999999</v>
      </c>
      <c r="J22" s="7">
        <v>226</v>
      </c>
      <c r="K22" s="7">
        <v>24.49</v>
      </c>
      <c r="L22" s="9">
        <v>233</v>
      </c>
      <c r="M22" s="8">
        <v>25.220634820000001</v>
      </c>
      <c r="N22" s="7">
        <v>200</v>
      </c>
      <c r="O22" s="7">
        <v>26</v>
      </c>
      <c r="P22" s="7">
        <v>5</v>
      </c>
      <c r="Q22" s="9">
        <v>8</v>
      </c>
      <c r="R22" s="7">
        <v>9</v>
      </c>
      <c r="S22" s="39">
        <v>-1</v>
      </c>
    </row>
    <row r="23" spans="1:19" ht="15.75" customHeight="1" x14ac:dyDescent="0.25">
      <c r="A23" s="4">
        <v>22</v>
      </c>
      <c r="B23" s="4">
        <v>8557380</v>
      </c>
      <c r="C23" s="5" t="s">
        <v>48</v>
      </c>
      <c r="D23" s="5" t="s">
        <v>46</v>
      </c>
      <c r="E23" s="5" t="s">
        <v>20</v>
      </c>
      <c r="F23" s="8">
        <v>20.722896410000001</v>
      </c>
      <c r="G23" s="8">
        <v>26.405034029999999</v>
      </c>
      <c r="H23" s="8">
        <v>-5.6821376199999998</v>
      </c>
      <c r="I23" s="8">
        <v>23.876992019999999</v>
      </c>
      <c r="J23" s="7">
        <v>236</v>
      </c>
      <c r="K23" s="7">
        <v>23.7</v>
      </c>
      <c r="L23" s="9">
        <v>232</v>
      </c>
      <c r="M23" s="8">
        <v>26.357557790000001</v>
      </c>
      <c r="N23" s="7">
        <v>200</v>
      </c>
      <c r="O23" s="7">
        <v>36</v>
      </c>
      <c r="P23" s="7">
        <v>8</v>
      </c>
      <c r="Q23" s="9">
        <v>8</v>
      </c>
      <c r="R23" s="7">
        <v>9</v>
      </c>
      <c r="S23" s="39">
        <v>-1</v>
      </c>
    </row>
    <row r="24" spans="1:19" ht="15.75" customHeight="1" x14ac:dyDescent="0.25">
      <c r="A24" s="4">
        <v>23</v>
      </c>
      <c r="B24" s="4">
        <v>8573927</v>
      </c>
      <c r="C24" s="5" t="s">
        <v>49</v>
      </c>
      <c r="D24" s="5" t="s">
        <v>50</v>
      </c>
      <c r="E24" s="5" t="s">
        <v>20</v>
      </c>
      <c r="F24" s="8">
        <v>27.31091618</v>
      </c>
      <c r="G24" s="8">
        <v>28.103364030000002</v>
      </c>
      <c r="H24" s="8">
        <v>-0.79244784999999995</v>
      </c>
      <c r="I24" s="8">
        <v>29.10324074</v>
      </c>
      <c r="J24" s="7">
        <v>205</v>
      </c>
      <c r="K24" s="7">
        <v>28.45</v>
      </c>
      <c r="L24" s="9">
        <v>210</v>
      </c>
      <c r="M24" s="8">
        <v>26.632055149999999</v>
      </c>
      <c r="N24" s="7">
        <v>200</v>
      </c>
      <c r="O24" s="7">
        <v>5</v>
      </c>
      <c r="P24" s="7">
        <v>4</v>
      </c>
      <c r="Q24" s="9">
        <v>7</v>
      </c>
      <c r="R24" s="7">
        <v>9</v>
      </c>
      <c r="S24" s="39">
        <v>-2</v>
      </c>
    </row>
    <row r="25" spans="1:19" ht="15.75" customHeight="1" x14ac:dyDescent="0.25">
      <c r="A25" s="4">
        <v>24</v>
      </c>
      <c r="B25" s="4">
        <v>8574680</v>
      </c>
      <c r="C25" s="5" t="s">
        <v>51</v>
      </c>
      <c r="D25" s="5" t="s">
        <v>50</v>
      </c>
      <c r="E25" s="5" t="s">
        <v>20</v>
      </c>
      <c r="F25" s="8">
        <v>24.21302008</v>
      </c>
      <c r="G25" s="8">
        <v>28.982226300000001</v>
      </c>
      <c r="H25" s="8">
        <v>-4.7692062200000001</v>
      </c>
      <c r="I25" s="8">
        <v>27.775033480000001</v>
      </c>
      <c r="J25" s="7">
        <v>217</v>
      </c>
      <c r="K25" s="7">
        <v>27.47</v>
      </c>
      <c r="L25" s="9">
        <v>217</v>
      </c>
      <c r="M25" s="8">
        <v>28.151636109999998</v>
      </c>
      <c r="N25" s="7">
        <v>200</v>
      </c>
      <c r="O25" s="7">
        <v>17</v>
      </c>
      <c r="P25" s="7">
        <v>11</v>
      </c>
      <c r="Q25" s="9">
        <v>8</v>
      </c>
      <c r="R25" s="7">
        <v>9</v>
      </c>
      <c r="S25" s="39">
        <v>-1</v>
      </c>
    </row>
    <row r="26" spans="1:19" ht="15.75" customHeight="1" x14ac:dyDescent="0.25">
      <c r="A26" s="4">
        <v>25</v>
      </c>
      <c r="B26" s="4">
        <v>8573364</v>
      </c>
      <c r="C26" s="5" t="s">
        <v>52</v>
      </c>
      <c r="D26" s="5" t="s">
        <v>50</v>
      </c>
      <c r="E26" s="5" t="s">
        <v>20</v>
      </c>
      <c r="F26" s="8">
        <v>25.99628547</v>
      </c>
      <c r="G26" s="8">
        <v>27.712648819999998</v>
      </c>
      <c r="H26" s="8">
        <v>-1.71636335</v>
      </c>
      <c r="I26" s="8">
        <v>27.740408989999999</v>
      </c>
      <c r="J26" s="7">
        <v>201</v>
      </c>
      <c r="K26" s="7">
        <v>27.22</v>
      </c>
      <c r="L26" s="9">
        <v>212</v>
      </c>
      <c r="M26" s="8">
        <v>26.709532159999998</v>
      </c>
      <c r="N26" s="7">
        <v>200</v>
      </c>
      <c r="O26" s="7">
        <v>1</v>
      </c>
      <c r="P26" s="7">
        <v>5</v>
      </c>
      <c r="Q26" s="9">
        <v>7</v>
      </c>
      <c r="R26" s="7">
        <v>9</v>
      </c>
      <c r="S26" s="39">
        <v>-2</v>
      </c>
    </row>
    <row r="27" spans="1:19" ht="15.75" customHeight="1" x14ac:dyDescent="0.25">
      <c r="A27" s="4">
        <v>26</v>
      </c>
      <c r="B27" s="4">
        <v>8594900</v>
      </c>
      <c r="C27" s="5" t="s">
        <v>53</v>
      </c>
      <c r="D27" s="5" t="s">
        <v>54</v>
      </c>
      <c r="E27" s="5" t="s">
        <v>20</v>
      </c>
      <c r="F27" s="8">
        <v>26.24072632</v>
      </c>
      <c r="G27" s="8">
        <v>29.377197580000001</v>
      </c>
      <c r="H27" s="8">
        <v>-3.13647126</v>
      </c>
      <c r="I27" s="8">
        <v>29.151159239999998</v>
      </c>
      <c r="J27" s="7">
        <v>202</v>
      </c>
      <c r="K27" s="7">
        <v>28.39</v>
      </c>
      <c r="L27" s="9">
        <v>211</v>
      </c>
      <c r="M27" s="8">
        <v>28.664905919999999</v>
      </c>
      <c r="N27" s="7">
        <v>201</v>
      </c>
      <c r="O27" s="7">
        <v>1</v>
      </c>
      <c r="P27" s="7">
        <v>3</v>
      </c>
      <c r="Q27" s="9">
        <v>7</v>
      </c>
      <c r="R27" s="7">
        <v>9</v>
      </c>
      <c r="S27" s="39">
        <v>-2</v>
      </c>
    </row>
    <row r="28" spans="1:19" ht="15.75" customHeight="1" x14ac:dyDescent="0.25">
      <c r="A28" s="4">
        <v>27</v>
      </c>
      <c r="B28" s="4">
        <v>8577330</v>
      </c>
      <c r="C28" s="5" t="s">
        <v>55</v>
      </c>
      <c r="D28" s="5" t="s">
        <v>50</v>
      </c>
      <c r="E28" s="5" t="s">
        <v>20</v>
      </c>
      <c r="F28" s="8">
        <v>24.650168560000001</v>
      </c>
      <c r="G28" s="8">
        <v>26.308637560000001</v>
      </c>
      <c r="H28" s="8">
        <v>-1.658469</v>
      </c>
      <c r="I28" s="8">
        <v>27.752489440000002</v>
      </c>
      <c r="J28" s="7">
        <v>216</v>
      </c>
      <c r="K28" s="7">
        <v>27.53</v>
      </c>
      <c r="L28" s="9">
        <v>216</v>
      </c>
      <c r="M28" s="8">
        <v>27.46562153</v>
      </c>
      <c r="N28" s="7">
        <v>199</v>
      </c>
      <c r="O28" s="7">
        <v>17</v>
      </c>
      <c r="P28" s="7">
        <v>9</v>
      </c>
      <c r="Q28" s="9">
        <v>8</v>
      </c>
      <c r="R28" s="7">
        <v>9</v>
      </c>
      <c r="S28" s="39">
        <v>-1</v>
      </c>
    </row>
    <row r="29" spans="1:19" ht="15.75" customHeight="1" x14ac:dyDescent="0.25">
      <c r="A29" s="4">
        <v>28</v>
      </c>
      <c r="B29" s="4">
        <v>8635750</v>
      </c>
      <c r="C29" s="5" t="s">
        <v>56</v>
      </c>
      <c r="D29" s="5" t="s">
        <v>57</v>
      </c>
      <c r="E29" s="5" t="s">
        <v>20</v>
      </c>
      <c r="F29" s="8">
        <v>24.996437060000002</v>
      </c>
      <c r="G29" s="8">
        <v>25.804411380000001</v>
      </c>
      <c r="H29" s="8">
        <v>-0.80797432000000002</v>
      </c>
      <c r="I29" s="8">
        <v>28.558897219999999</v>
      </c>
      <c r="J29" s="7">
        <v>201</v>
      </c>
      <c r="K29" s="7">
        <v>27.98</v>
      </c>
      <c r="L29" s="9">
        <v>211</v>
      </c>
      <c r="M29" s="8">
        <v>26.67570233</v>
      </c>
      <c r="N29" s="7">
        <v>200</v>
      </c>
      <c r="O29" s="7">
        <v>1</v>
      </c>
      <c r="P29" s="7">
        <v>3</v>
      </c>
      <c r="Q29" s="9">
        <v>7</v>
      </c>
      <c r="R29" s="7">
        <v>9</v>
      </c>
      <c r="S29" s="39">
        <v>-2</v>
      </c>
    </row>
    <row r="30" spans="1:19" ht="15.75" customHeight="1" x14ac:dyDescent="0.25">
      <c r="A30" s="4">
        <v>29</v>
      </c>
      <c r="B30" s="4">
        <v>8632200</v>
      </c>
      <c r="C30" s="5" t="s">
        <v>58</v>
      </c>
      <c r="D30" s="5" t="s">
        <v>57</v>
      </c>
      <c r="E30" s="5" t="s">
        <v>20</v>
      </c>
      <c r="F30" s="8">
        <v>22.122533969999999</v>
      </c>
      <c r="G30" s="24"/>
      <c r="H30" s="24"/>
      <c r="I30" s="24"/>
      <c r="J30" s="17"/>
      <c r="K30" s="7">
        <v>26.2</v>
      </c>
      <c r="L30" s="9">
        <v>218</v>
      </c>
      <c r="M30" s="24"/>
      <c r="N30" s="25"/>
      <c r="O30" s="17"/>
      <c r="P30" s="17"/>
      <c r="Q30" s="9">
        <v>8</v>
      </c>
      <c r="R30" s="7">
        <v>9</v>
      </c>
      <c r="S30" s="39">
        <v>-1</v>
      </c>
    </row>
    <row r="31" spans="1:19" ht="15.75" customHeight="1" x14ac:dyDescent="0.25">
      <c r="A31" s="4">
        <v>30</v>
      </c>
      <c r="B31" s="4">
        <v>8637689</v>
      </c>
      <c r="C31" s="5" t="s">
        <v>59</v>
      </c>
      <c r="D31" s="5" t="s">
        <v>57</v>
      </c>
      <c r="E31" s="5" t="s">
        <v>20</v>
      </c>
      <c r="F31" s="8">
        <v>23.4793637</v>
      </c>
      <c r="G31" s="8">
        <v>25.08115029</v>
      </c>
      <c r="H31" s="8">
        <v>-1.6017865899999999</v>
      </c>
      <c r="I31" s="8">
        <v>28.037338340000002</v>
      </c>
      <c r="J31" s="7">
        <v>218</v>
      </c>
      <c r="K31" s="7">
        <v>27.81</v>
      </c>
      <c r="L31" s="9">
        <v>216</v>
      </c>
      <c r="M31" s="8">
        <v>27.17263792</v>
      </c>
      <c r="N31" s="7">
        <v>209</v>
      </c>
      <c r="O31" s="7">
        <v>9</v>
      </c>
      <c r="P31" s="7">
        <v>8</v>
      </c>
      <c r="Q31" s="9">
        <v>8</v>
      </c>
      <c r="R31" s="7">
        <v>9</v>
      </c>
      <c r="S31" s="39">
        <v>-1</v>
      </c>
    </row>
    <row r="32" spans="1:19" ht="15.75" customHeight="1" x14ac:dyDescent="0.25">
      <c r="A32" s="4">
        <v>31</v>
      </c>
      <c r="B32" s="4">
        <v>8638863</v>
      </c>
      <c r="C32" s="5" t="s">
        <v>60</v>
      </c>
      <c r="D32" s="5" t="s">
        <v>57</v>
      </c>
      <c r="E32" s="5" t="s">
        <v>20</v>
      </c>
      <c r="F32" s="8">
        <v>20.855132959999999</v>
      </c>
      <c r="G32" s="8">
        <v>23.64609317</v>
      </c>
      <c r="H32" s="8">
        <v>-2.7909602100000002</v>
      </c>
      <c r="I32" s="8">
        <v>25.65336589</v>
      </c>
      <c r="J32" s="7">
        <v>235</v>
      </c>
      <c r="K32" s="7">
        <v>25.43</v>
      </c>
      <c r="L32" s="9">
        <v>228</v>
      </c>
      <c r="M32" s="8">
        <v>26.57336136</v>
      </c>
      <c r="N32" s="7">
        <v>200</v>
      </c>
      <c r="O32" s="7">
        <v>35</v>
      </c>
      <c r="P32" s="7">
        <v>8</v>
      </c>
      <c r="Q32" s="9">
        <v>8</v>
      </c>
      <c r="R32" s="7">
        <v>9</v>
      </c>
      <c r="S32" s="39">
        <v>-1</v>
      </c>
    </row>
    <row r="33" spans="1:19" ht="15.75" customHeight="1" x14ac:dyDescent="0.25">
      <c r="A33" s="4">
        <v>32</v>
      </c>
      <c r="B33" s="4">
        <v>8631044</v>
      </c>
      <c r="C33" s="5" t="s">
        <v>61</v>
      </c>
      <c r="D33" s="5" t="s">
        <v>57</v>
      </c>
      <c r="E33" s="5" t="s">
        <v>20</v>
      </c>
      <c r="F33" s="8">
        <v>24.266784260000001</v>
      </c>
      <c r="G33" s="8">
        <v>26.439050210000001</v>
      </c>
      <c r="H33" s="8">
        <v>-2.1722659499999999</v>
      </c>
      <c r="I33" s="8">
        <v>28.358852070000001</v>
      </c>
      <c r="J33" s="7">
        <v>201</v>
      </c>
      <c r="K33" s="7">
        <v>27.63</v>
      </c>
      <c r="L33" s="9">
        <v>206</v>
      </c>
      <c r="M33" s="8">
        <v>27.354202900000001</v>
      </c>
      <c r="N33" s="7">
        <v>202</v>
      </c>
      <c r="O33" s="7">
        <v>-1</v>
      </c>
      <c r="P33" s="7">
        <v>1</v>
      </c>
      <c r="Q33" s="9">
        <v>7</v>
      </c>
      <c r="R33" s="7">
        <v>9</v>
      </c>
      <c r="S33" s="39">
        <v>-2</v>
      </c>
    </row>
    <row r="34" spans="1:19" ht="15.75" customHeight="1" x14ac:dyDescent="0.25">
      <c r="A34" s="4">
        <v>33</v>
      </c>
      <c r="B34" s="4">
        <v>8651370</v>
      </c>
      <c r="C34" s="5" t="s">
        <v>62</v>
      </c>
      <c r="D34" s="5" t="s">
        <v>63</v>
      </c>
      <c r="E34" s="5" t="s">
        <v>64</v>
      </c>
      <c r="F34" s="8">
        <v>18.878101990000001</v>
      </c>
      <c r="G34" s="8">
        <v>22.352659800000001</v>
      </c>
      <c r="H34" s="8">
        <v>-3.4745578099999999</v>
      </c>
      <c r="I34" s="8">
        <v>24.9160523</v>
      </c>
      <c r="J34" s="7">
        <v>246</v>
      </c>
      <c r="K34" s="7">
        <v>24.12</v>
      </c>
      <c r="L34" s="9">
        <v>249</v>
      </c>
      <c r="M34" s="8">
        <v>26.8145326</v>
      </c>
      <c r="N34" s="7">
        <v>209</v>
      </c>
      <c r="O34" s="7">
        <v>37</v>
      </c>
      <c r="P34" s="7">
        <v>19</v>
      </c>
      <c r="Q34" s="9">
        <v>9</v>
      </c>
      <c r="R34" s="7">
        <v>9</v>
      </c>
      <c r="S34" s="39">
        <v>0</v>
      </c>
    </row>
    <row r="35" spans="1:19" ht="15.75" customHeight="1" x14ac:dyDescent="0.25">
      <c r="A35" s="4">
        <v>34</v>
      </c>
      <c r="B35" s="4">
        <v>8652587</v>
      </c>
      <c r="C35" s="5" t="s">
        <v>65</v>
      </c>
      <c r="D35" s="5" t="s">
        <v>63</v>
      </c>
      <c r="E35" s="5" t="s">
        <v>64</v>
      </c>
      <c r="F35" s="8">
        <v>20.870247729999999</v>
      </c>
      <c r="G35" s="8">
        <v>22.23461039</v>
      </c>
      <c r="H35" s="8">
        <v>-1.3643626600000001</v>
      </c>
      <c r="I35" s="8">
        <v>27.766922789999999</v>
      </c>
      <c r="J35" s="7">
        <v>210</v>
      </c>
      <c r="K35" s="7">
        <v>27.03</v>
      </c>
      <c r="L35" s="9">
        <v>211</v>
      </c>
      <c r="M35" s="8">
        <v>27.150595240000001</v>
      </c>
      <c r="N35" s="7">
        <v>203</v>
      </c>
      <c r="O35" s="7">
        <v>7</v>
      </c>
      <c r="P35" s="7">
        <v>1</v>
      </c>
      <c r="Q35" s="9">
        <v>7</v>
      </c>
      <c r="R35" s="7">
        <v>9</v>
      </c>
      <c r="S35" s="39">
        <v>-2</v>
      </c>
    </row>
    <row r="36" spans="1:19" ht="15.75" customHeight="1" x14ac:dyDescent="0.25">
      <c r="A36" s="4">
        <v>35</v>
      </c>
      <c r="B36" s="4">
        <v>8658120</v>
      </c>
      <c r="C36" s="5" t="s">
        <v>66</v>
      </c>
      <c r="D36" s="5" t="s">
        <v>63</v>
      </c>
      <c r="E36" s="5" t="s">
        <v>64</v>
      </c>
      <c r="F36" s="8">
        <v>20.9835536</v>
      </c>
      <c r="G36" s="8">
        <v>22.534258130000001</v>
      </c>
      <c r="H36" s="8">
        <v>-1.55070453</v>
      </c>
      <c r="I36" s="8">
        <v>29.103130759999999</v>
      </c>
      <c r="J36" s="7">
        <v>205</v>
      </c>
      <c r="K36" s="7">
        <v>28.76</v>
      </c>
      <c r="L36" s="9">
        <v>207</v>
      </c>
      <c r="M36" s="8">
        <v>28.27933389</v>
      </c>
      <c r="N36" s="7">
        <v>203</v>
      </c>
      <c r="O36" s="7">
        <v>2</v>
      </c>
      <c r="P36" s="7">
        <v>4</v>
      </c>
      <c r="Q36" s="9">
        <v>7</v>
      </c>
      <c r="R36" s="7">
        <v>9</v>
      </c>
      <c r="S36" s="39">
        <v>-2</v>
      </c>
    </row>
    <row r="37" spans="1:19" ht="15.75" customHeight="1" x14ac:dyDescent="0.25">
      <c r="A37" s="4">
        <v>36</v>
      </c>
      <c r="B37" s="4">
        <v>8665530</v>
      </c>
      <c r="C37" s="5" t="s">
        <v>67</v>
      </c>
      <c r="D37" s="5" t="s">
        <v>68</v>
      </c>
      <c r="E37" s="5" t="s">
        <v>64</v>
      </c>
      <c r="F37" s="8">
        <v>18.543312220000001</v>
      </c>
      <c r="G37" s="8">
        <v>20.251844340000002</v>
      </c>
      <c r="H37" s="8">
        <v>-1.7085321200000001</v>
      </c>
      <c r="I37" s="8">
        <v>29.903920809999999</v>
      </c>
      <c r="J37" s="7">
        <v>200</v>
      </c>
      <c r="K37" s="7">
        <v>29.62</v>
      </c>
      <c r="L37" s="9">
        <v>211</v>
      </c>
      <c r="M37" s="8">
        <v>28.64548611</v>
      </c>
      <c r="N37" s="7">
        <v>209</v>
      </c>
      <c r="O37" s="7">
        <v>-9</v>
      </c>
      <c r="P37" s="7">
        <v>5</v>
      </c>
      <c r="Q37" s="9">
        <v>7</v>
      </c>
      <c r="R37" s="7">
        <v>10</v>
      </c>
      <c r="S37" s="39">
        <v>-3</v>
      </c>
    </row>
    <row r="38" spans="1:19" ht="15" x14ac:dyDescent="0.25">
      <c r="A38" s="4">
        <v>37</v>
      </c>
      <c r="B38" s="4">
        <v>8721604</v>
      </c>
      <c r="C38" s="5" t="s">
        <v>69</v>
      </c>
      <c r="D38" s="5" t="s">
        <v>70</v>
      </c>
      <c r="E38" s="5" t="s">
        <v>64</v>
      </c>
      <c r="F38" s="8">
        <v>11.11812288</v>
      </c>
      <c r="G38" s="8">
        <v>13.252497979999999</v>
      </c>
      <c r="H38" s="8">
        <v>-2.1343751000000002</v>
      </c>
      <c r="I38" s="8">
        <v>29.394785460000001</v>
      </c>
      <c r="J38" s="7">
        <v>244</v>
      </c>
      <c r="K38" s="7">
        <v>29.13</v>
      </c>
      <c r="L38" s="9">
        <v>253</v>
      </c>
      <c r="M38" s="8">
        <v>28.115311259999999</v>
      </c>
      <c r="N38" s="7">
        <v>233</v>
      </c>
      <c r="O38" s="7">
        <v>11</v>
      </c>
      <c r="P38" s="7">
        <v>3</v>
      </c>
      <c r="Q38" s="9">
        <v>9</v>
      </c>
      <c r="R38" s="7">
        <v>10</v>
      </c>
      <c r="S38" s="39">
        <v>-1</v>
      </c>
    </row>
    <row r="39" spans="1:19" ht="15" x14ac:dyDescent="0.25">
      <c r="A39" s="4">
        <v>38</v>
      </c>
      <c r="B39" s="4">
        <v>8723970</v>
      </c>
      <c r="C39" s="5" t="s">
        <v>71</v>
      </c>
      <c r="D39" s="5" t="s">
        <v>70</v>
      </c>
      <c r="E39" s="5" t="s">
        <v>64</v>
      </c>
      <c r="F39" s="8">
        <v>11.62320205</v>
      </c>
      <c r="G39" s="8">
        <v>10.11829582</v>
      </c>
      <c r="H39" s="8">
        <v>1.50490623</v>
      </c>
      <c r="I39" s="8">
        <v>32.13843816</v>
      </c>
      <c r="J39" s="7">
        <v>225</v>
      </c>
      <c r="K39" s="7">
        <v>31.79</v>
      </c>
      <c r="L39" s="9">
        <v>215</v>
      </c>
      <c r="M39" s="8">
        <v>29.812297170000001</v>
      </c>
      <c r="N39" s="7">
        <v>229</v>
      </c>
      <c r="O39" s="7">
        <v>-4</v>
      </c>
      <c r="P39" s="7">
        <v>1</v>
      </c>
      <c r="Q39" s="9">
        <v>7</v>
      </c>
      <c r="R39" s="7">
        <v>10</v>
      </c>
      <c r="S39" s="39">
        <v>-3</v>
      </c>
    </row>
    <row r="40" spans="1:19" ht="15" x14ac:dyDescent="0.25">
      <c r="A40" s="4">
        <v>39</v>
      </c>
      <c r="B40" s="4">
        <v>8724580</v>
      </c>
      <c r="C40" s="5" t="s">
        <v>72</v>
      </c>
      <c r="D40" s="5" t="s">
        <v>70</v>
      </c>
      <c r="E40" s="5" t="s">
        <v>64</v>
      </c>
      <c r="F40" s="8">
        <v>10.18932189</v>
      </c>
      <c r="G40" s="8">
        <v>10.16659479</v>
      </c>
      <c r="H40" s="8">
        <v>2.27271E-2</v>
      </c>
      <c r="I40" s="8">
        <v>31.473109869999998</v>
      </c>
      <c r="J40" s="7">
        <v>219</v>
      </c>
      <c r="K40" s="7">
        <v>31.08</v>
      </c>
      <c r="L40" s="9">
        <v>218</v>
      </c>
      <c r="M40" s="8">
        <v>30.230154720000002</v>
      </c>
      <c r="N40" s="7">
        <v>230</v>
      </c>
      <c r="O40" s="7">
        <v>-11</v>
      </c>
      <c r="P40" s="7">
        <v>1</v>
      </c>
      <c r="Q40" s="9">
        <v>8</v>
      </c>
      <c r="R40" s="7">
        <v>10</v>
      </c>
      <c r="S40" s="39">
        <v>-2</v>
      </c>
    </row>
    <row r="41" spans="1:19" ht="15" x14ac:dyDescent="0.25">
      <c r="A41" s="4">
        <v>40</v>
      </c>
      <c r="B41" s="4">
        <v>8725520</v>
      </c>
      <c r="C41" s="5" t="s">
        <v>73</v>
      </c>
      <c r="D41" s="5" t="s">
        <v>70</v>
      </c>
      <c r="E41" s="5" t="s">
        <v>74</v>
      </c>
      <c r="F41" s="8">
        <v>12.376200470000001</v>
      </c>
      <c r="G41" s="8">
        <v>11.834134710000001</v>
      </c>
      <c r="H41" s="8">
        <v>0.54206575999999995</v>
      </c>
      <c r="I41" s="8">
        <v>30.971064179999999</v>
      </c>
      <c r="J41" s="7">
        <v>213</v>
      </c>
      <c r="K41" s="7">
        <v>30.7</v>
      </c>
      <c r="L41" s="9">
        <v>216</v>
      </c>
      <c r="M41" s="8">
        <v>28.408494770000001</v>
      </c>
      <c r="N41" s="7">
        <v>225</v>
      </c>
      <c r="O41" s="7">
        <v>-12</v>
      </c>
      <c r="P41" s="7">
        <v>1</v>
      </c>
      <c r="Q41" s="9">
        <v>8</v>
      </c>
      <c r="R41" s="7">
        <v>9</v>
      </c>
      <c r="S41" s="39">
        <v>-1</v>
      </c>
    </row>
    <row r="42" spans="1:19" ht="15" x14ac:dyDescent="0.25">
      <c r="A42" s="4">
        <v>41</v>
      </c>
      <c r="B42" s="4">
        <v>8726724</v>
      </c>
      <c r="C42" s="5" t="s">
        <v>75</v>
      </c>
      <c r="D42" s="5" t="s">
        <v>70</v>
      </c>
      <c r="E42" s="5" t="s">
        <v>74</v>
      </c>
      <c r="F42" s="8">
        <v>15.29652349</v>
      </c>
      <c r="G42" s="8">
        <v>14.42054289</v>
      </c>
      <c r="H42" s="8">
        <v>0.8759806</v>
      </c>
      <c r="I42" s="8">
        <v>31.256673129999999</v>
      </c>
      <c r="J42" s="7">
        <v>232</v>
      </c>
      <c r="K42" s="7">
        <v>31.03</v>
      </c>
      <c r="L42" s="9">
        <v>217</v>
      </c>
      <c r="M42" s="8">
        <v>28.845098400000001</v>
      </c>
      <c r="N42" s="7">
        <v>224</v>
      </c>
      <c r="O42" s="7">
        <v>8</v>
      </c>
      <c r="P42" s="7">
        <v>0</v>
      </c>
      <c r="Q42" s="9">
        <v>8</v>
      </c>
      <c r="R42" s="7">
        <v>9</v>
      </c>
      <c r="S42" s="39">
        <v>-1</v>
      </c>
    </row>
    <row r="43" spans="1:19" ht="15" x14ac:dyDescent="0.25">
      <c r="A43" s="4">
        <v>42</v>
      </c>
      <c r="B43" s="4">
        <v>8728690</v>
      </c>
      <c r="C43" s="5" t="s">
        <v>76</v>
      </c>
      <c r="D43" s="5" t="s">
        <v>70</v>
      </c>
      <c r="E43" s="5" t="s">
        <v>74</v>
      </c>
      <c r="F43" s="8">
        <v>17.853111179999999</v>
      </c>
      <c r="G43" s="8">
        <v>17.55556941</v>
      </c>
      <c r="H43" s="8">
        <v>0.29754176999999998</v>
      </c>
      <c r="I43" s="8">
        <v>29.748433370000001</v>
      </c>
      <c r="J43" s="7">
        <v>231</v>
      </c>
      <c r="K43" s="7">
        <v>29.57</v>
      </c>
      <c r="L43" s="9">
        <v>218</v>
      </c>
      <c r="M43" s="8">
        <v>28.168603959999999</v>
      </c>
      <c r="N43" s="7">
        <v>231</v>
      </c>
      <c r="O43" s="7">
        <v>0</v>
      </c>
      <c r="P43" s="7">
        <v>2</v>
      </c>
      <c r="Q43" s="9">
        <v>8</v>
      </c>
      <c r="R43" s="7">
        <v>9</v>
      </c>
      <c r="S43" s="39">
        <v>-1</v>
      </c>
    </row>
    <row r="44" spans="1:19" ht="15" x14ac:dyDescent="0.25">
      <c r="A44" s="4">
        <v>43</v>
      </c>
      <c r="B44" s="4">
        <v>8729108</v>
      </c>
      <c r="C44" s="5" t="s">
        <v>77</v>
      </c>
      <c r="D44" s="5" t="s">
        <v>70</v>
      </c>
      <c r="E44" s="5" t="s">
        <v>74</v>
      </c>
      <c r="F44" s="8">
        <v>16.30614374</v>
      </c>
      <c r="G44" s="8">
        <v>19.643865519999999</v>
      </c>
      <c r="H44" s="8">
        <v>-3.3377217799999999</v>
      </c>
      <c r="I44" s="8">
        <v>31.07134387</v>
      </c>
      <c r="J44" s="7">
        <v>211</v>
      </c>
      <c r="K44" s="7">
        <v>30.73</v>
      </c>
      <c r="L44" s="9">
        <v>220</v>
      </c>
      <c r="M44" s="8">
        <v>28.444166670000001</v>
      </c>
      <c r="N44" s="7">
        <v>212</v>
      </c>
      <c r="O44" s="7">
        <v>-1</v>
      </c>
      <c r="P44" s="7">
        <v>3</v>
      </c>
      <c r="Q44" s="9">
        <v>8</v>
      </c>
      <c r="R44" s="7">
        <v>9</v>
      </c>
      <c r="S44" s="39">
        <v>-1</v>
      </c>
    </row>
    <row r="45" spans="1:19" ht="15" x14ac:dyDescent="0.25">
      <c r="A45" s="4">
        <v>44</v>
      </c>
      <c r="B45" s="4">
        <v>8729210</v>
      </c>
      <c r="C45" s="5" t="s">
        <v>78</v>
      </c>
      <c r="D45" s="5" t="s">
        <v>70</v>
      </c>
      <c r="E45" s="5" t="s">
        <v>74</v>
      </c>
      <c r="F45" s="8">
        <v>15.21379965</v>
      </c>
      <c r="G45" s="8">
        <v>18.294653319999998</v>
      </c>
      <c r="H45" s="8">
        <v>-3.0808536700000002</v>
      </c>
      <c r="I45" s="8">
        <v>30.070024149999998</v>
      </c>
      <c r="J45" s="7">
        <v>232</v>
      </c>
      <c r="K45" s="7">
        <v>29.75</v>
      </c>
      <c r="L45" s="9">
        <v>230</v>
      </c>
      <c r="M45" s="8">
        <v>28.26185559</v>
      </c>
      <c r="N45" s="7">
        <v>230</v>
      </c>
      <c r="O45" s="7">
        <v>2</v>
      </c>
      <c r="P45" s="7">
        <v>9</v>
      </c>
      <c r="Q45" s="9">
        <v>8</v>
      </c>
      <c r="R45" s="7">
        <v>9</v>
      </c>
      <c r="S45" s="39">
        <v>-1</v>
      </c>
    </row>
    <row r="46" spans="1:19" ht="15" x14ac:dyDescent="0.25">
      <c r="A46" s="4">
        <v>45</v>
      </c>
      <c r="B46" s="4">
        <v>8729840</v>
      </c>
      <c r="C46" s="5" t="s">
        <v>79</v>
      </c>
      <c r="D46" s="5" t="s">
        <v>70</v>
      </c>
      <c r="E46" s="5" t="s">
        <v>74</v>
      </c>
      <c r="F46" s="8">
        <v>17.705308550000002</v>
      </c>
      <c r="G46" s="8">
        <v>20.088415770000001</v>
      </c>
      <c r="H46" s="8">
        <v>-2.3831072199999999</v>
      </c>
      <c r="I46" s="8">
        <v>30.472553049999998</v>
      </c>
      <c r="J46" s="7">
        <v>221</v>
      </c>
      <c r="K46" s="7">
        <v>30.26</v>
      </c>
      <c r="L46" s="9">
        <v>218</v>
      </c>
      <c r="M46" s="8">
        <v>29.7000402</v>
      </c>
      <c r="N46" s="7">
        <v>203</v>
      </c>
      <c r="O46" s="7">
        <v>18</v>
      </c>
      <c r="P46" s="7">
        <v>2</v>
      </c>
      <c r="Q46" s="9">
        <v>8</v>
      </c>
      <c r="R46" s="7">
        <v>9</v>
      </c>
      <c r="S46" s="39">
        <v>-1</v>
      </c>
    </row>
    <row r="47" spans="1:19" ht="15" x14ac:dyDescent="0.25">
      <c r="A47" s="4">
        <v>46</v>
      </c>
      <c r="B47" s="4">
        <v>8762482</v>
      </c>
      <c r="C47" s="5" t="s">
        <v>80</v>
      </c>
      <c r="D47" s="5" t="s">
        <v>81</v>
      </c>
      <c r="E47" s="5" t="s">
        <v>82</v>
      </c>
      <c r="F47" s="8">
        <v>18.811367929999999</v>
      </c>
      <c r="G47" s="8">
        <v>17.286023050000001</v>
      </c>
      <c r="H47" s="8">
        <v>1.52534488</v>
      </c>
      <c r="I47" s="8">
        <v>31.630009260000001</v>
      </c>
      <c r="J47" s="7">
        <v>220</v>
      </c>
      <c r="K47" s="7">
        <v>30.79</v>
      </c>
      <c r="L47" s="9">
        <v>211</v>
      </c>
      <c r="M47" s="8">
        <v>28.05247872</v>
      </c>
      <c r="N47" s="7">
        <v>221</v>
      </c>
      <c r="O47" s="7">
        <v>-1</v>
      </c>
      <c r="P47" s="7">
        <v>1</v>
      </c>
      <c r="Q47" s="9">
        <v>7</v>
      </c>
      <c r="R47" s="7">
        <v>9</v>
      </c>
      <c r="S47" s="39">
        <v>-2</v>
      </c>
    </row>
    <row r="48" spans="1:19" ht="15" x14ac:dyDescent="0.25">
      <c r="A48" s="4">
        <v>47</v>
      </c>
      <c r="B48" s="4">
        <v>8761724</v>
      </c>
      <c r="C48" s="5" t="s">
        <v>83</v>
      </c>
      <c r="D48" s="5" t="s">
        <v>81</v>
      </c>
      <c r="E48" s="5" t="s">
        <v>82</v>
      </c>
      <c r="F48" s="8">
        <v>17.050344330000001</v>
      </c>
      <c r="G48" s="8">
        <v>20.688286489999999</v>
      </c>
      <c r="H48" s="8">
        <v>-3.6379421600000001</v>
      </c>
      <c r="I48" s="8">
        <v>31.155907289999998</v>
      </c>
      <c r="J48" s="7">
        <v>220</v>
      </c>
      <c r="K48" s="7">
        <v>30.65</v>
      </c>
      <c r="L48" s="9">
        <v>218</v>
      </c>
      <c r="M48" s="8">
        <v>29.47926635</v>
      </c>
      <c r="N48" s="7">
        <v>220</v>
      </c>
      <c r="O48" s="7">
        <v>0</v>
      </c>
      <c r="P48" s="7">
        <v>1</v>
      </c>
      <c r="Q48" s="9">
        <v>8</v>
      </c>
      <c r="R48" s="7">
        <v>9</v>
      </c>
      <c r="S48" s="39">
        <v>-1</v>
      </c>
    </row>
    <row r="49" spans="1:19" ht="15" x14ac:dyDescent="0.25">
      <c r="A49" s="4">
        <v>48</v>
      </c>
      <c r="B49" s="4">
        <v>8768094</v>
      </c>
      <c r="C49" s="5" t="s">
        <v>84</v>
      </c>
      <c r="D49" s="5" t="s">
        <v>81</v>
      </c>
      <c r="E49" s="5" t="s">
        <v>82</v>
      </c>
      <c r="F49" s="8">
        <v>19.125431760000001</v>
      </c>
      <c r="G49" s="8">
        <v>19.7845136</v>
      </c>
      <c r="H49" s="8">
        <v>-0.65908184000000003</v>
      </c>
      <c r="I49" s="8">
        <v>31.179436110000001</v>
      </c>
      <c r="J49" s="7">
        <v>223</v>
      </c>
      <c r="K49" s="7">
        <v>30.71</v>
      </c>
      <c r="L49" s="9">
        <v>219</v>
      </c>
      <c r="M49" s="8">
        <v>29.640577149999999</v>
      </c>
      <c r="N49" s="7">
        <v>222</v>
      </c>
      <c r="O49" s="7">
        <v>1</v>
      </c>
      <c r="P49" s="7">
        <v>1</v>
      </c>
      <c r="Q49" s="9">
        <v>8</v>
      </c>
      <c r="R49" s="7">
        <v>9</v>
      </c>
      <c r="S49" s="39">
        <v>-1</v>
      </c>
    </row>
    <row r="50" spans="1:19" ht="15" x14ac:dyDescent="0.25">
      <c r="A50" s="4">
        <v>49</v>
      </c>
      <c r="B50" s="4">
        <v>8770475</v>
      </c>
      <c r="C50" s="5" t="s">
        <v>85</v>
      </c>
      <c r="D50" s="5" t="s">
        <v>86</v>
      </c>
      <c r="E50" s="5" t="s">
        <v>82</v>
      </c>
      <c r="F50" s="8">
        <v>18.803487279999999</v>
      </c>
      <c r="G50" s="24"/>
      <c r="H50" s="24"/>
      <c r="I50" s="24"/>
      <c r="J50" s="17"/>
      <c r="K50" s="7">
        <v>31.2</v>
      </c>
      <c r="L50" s="9">
        <v>220</v>
      </c>
      <c r="M50" s="24"/>
      <c r="N50" s="25"/>
      <c r="O50" s="17"/>
      <c r="P50" s="17"/>
      <c r="Q50" s="9">
        <v>8</v>
      </c>
      <c r="R50" s="7">
        <v>9</v>
      </c>
      <c r="S50" s="39">
        <v>-1</v>
      </c>
    </row>
    <row r="51" spans="1:19" ht="15" x14ac:dyDescent="0.25">
      <c r="A51" s="4">
        <v>50</v>
      </c>
      <c r="B51" s="4">
        <v>8770570</v>
      </c>
      <c r="C51" s="5" t="s">
        <v>87</v>
      </c>
      <c r="D51" s="5" t="s">
        <v>86</v>
      </c>
      <c r="E51" s="5" t="s">
        <v>82</v>
      </c>
      <c r="F51" s="8">
        <v>19.163560570000001</v>
      </c>
      <c r="G51" s="8">
        <v>19.063272139999999</v>
      </c>
      <c r="H51" s="8">
        <v>0.10028843</v>
      </c>
      <c r="I51" s="8">
        <v>31.54481324</v>
      </c>
      <c r="J51" s="7">
        <v>223</v>
      </c>
      <c r="K51" s="7">
        <v>31.05</v>
      </c>
      <c r="L51" s="9">
        <v>218</v>
      </c>
      <c r="M51" s="8">
        <v>29.591453130000001</v>
      </c>
      <c r="N51" s="7">
        <v>225</v>
      </c>
      <c r="O51" s="7">
        <v>-2</v>
      </c>
      <c r="P51" s="7">
        <v>1</v>
      </c>
      <c r="Q51" s="9">
        <v>8</v>
      </c>
      <c r="R51" s="7">
        <v>9</v>
      </c>
      <c r="S51" s="39">
        <v>-1</v>
      </c>
    </row>
    <row r="52" spans="1:19" ht="15" x14ac:dyDescent="0.25">
      <c r="A52" s="4">
        <v>51</v>
      </c>
      <c r="B52" s="4">
        <v>8770971</v>
      </c>
      <c r="C52" s="5" t="s">
        <v>88</v>
      </c>
      <c r="D52" s="5" t="s">
        <v>86</v>
      </c>
      <c r="E52" s="5" t="s">
        <v>82</v>
      </c>
      <c r="F52" s="8">
        <v>19.061546929999999</v>
      </c>
      <c r="G52" s="8">
        <v>21.011633450000001</v>
      </c>
      <c r="H52" s="8">
        <v>-1.9500865199999999</v>
      </c>
      <c r="I52" s="8">
        <v>30.56726827</v>
      </c>
      <c r="J52" s="7">
        <v>224</v>
      </c>
      <c r="K52" s="7">
        <v>30.02</v>
      </c>
      <c r="L52" s="9">
        <v>219</v>
      </c>
      <c r="M52" s="8">
        <v>30.627430560000001</v>
      </c>
      <c r="N52" s="7">
        <v>222</v>
      </c>
      <c r="O52" s="7">
        <v>2</v>
      </c>
      <c r="P52" s="7">
        <v>0</v>
      </c>
      <c r="Q52" s="9">
        <v>8</v>
      </c>
      <c r="R52" s="7">
        <v>10</v>
      </c>
      <c r="S52" s="39">
        <v>-2</v>
      </c>
    </row>
    <row r="53" spans="1:19" ht="15" x14ac:dyDescent="0.25">
      <c r="A53" s="4">
        <v>52</v>
      </c>
      <c r="B53" s="4">
        <v>8771341</v>
      </c>
      <c r="C53" s="5" t="s">
        <v>89</v>
      </c>
      <c r="D53" s="5" t="s">
        <v>86</v>
      </c>
      <c r="E53" s="5" t="s">
        <v>82</v>
      </c>
      <c r="F53" s="8">
        <v>17.662805219999999</v>
      </c>
      <c r="G53" s="8">
        <v>19.715168080000002</v>
      </c>
      <c r="H53" s="8">
        <v>-2.0523628600000001</v>
      </c>
      <c r="I53" s="8">
        <v>30.57876087</v>
      </c>
      <c r="J53" s="7">
        <v>237</v>
      </c>
      <c r="K53" s="7">
        <v>30.38</v>
      </c>
      <c r="L53" s="9">
        <v>222</v>
      </c>
      <c r="M53" s="8">
        <v>29.819917050000001</v>
      </c>
      <c r="N53" s="7">
        <v>224</v>
      </c>
      <c r="O53" s="7">
        <v>13</v>
      </c>
      <c r="P53" s="7">
        <v>1</v>
      </c>
      <c r="Q53" s="9">
        <v>8</v>
      </c>
      <c r="R53" s="7">
        <v>9</v>
      </c>
      <c r="S53" s="39">
        <v>-1</v>
      </c>
    </row>
    <row r="54" spans="1:19" ht="15" x14ac:dyDescent="0.25">
      <c r="A54" s="4">
        <v>53</v>
      </c>
      <c r="B54" s="4">
        <v>8771450</v>
      </c>
      <c r="C54" s="5" t="s">
        <v>90</v>
      </c>
      <c r="D54" s="5" t="s">
        <v>86</v>
      </c>
      <c r="E54" s="5" t="s">
        <v>82</v>
      </c>
      <c r="F54" s="8">
        <v>18.358937529999999</v>
      </c>
      <c r="G54" s="8">
        <v>18.753215269999998</v>
      </c>
      <c r="H54" s="8">
        <v>-0.39427773999999999</v>
      </c>
      <c r="I54" s="8">
        <v>31.13977204</v>
      </c>
      <c r="J54" s="7">
        <v>225</v>
      </c>
      <c r="K54" s="7">
        <v>30.85</v>
      </c>
      <c r="L54" s="9">
        <v>222</v>
      </c>
      <c r="M54" s="8">
        <v>30.183474879999999</v>
      </c>
      <c r="N54" s="7">
        <v>233</v>
      </c>
      <c r="O54" s="7">
        <v>-8</v>
      </c>
      <c r="P54" s="7">
        <v>2</v>
      </c>
      <c r="Q54" s="9">
        <v>8</v>
      </c>
      <c r="R54" s="7">
        <v>9</v>
      </c>
      <c r="S54" s="39">
        <v>-1</v>
      </c>
    </row>
    <row r="55" spans="1:19" ht="15" x14ac:dyDescent="0.25">
      <c r="A55" s="4">
        <v>54</v>
      </c>
      <c r="B55" s="4">
        <v>8775870</v>
      </c>
      <c r="C55" s="5" t="s">
        <v>91</v>
      </c>
      <c r="D55" s="5" t="s">
        <v>86</v>
      </c>
      <c r="E55" s="5" t="s">
        <v>82</v>
      </c>
      <c r="F55" s="8">
        <v>15.52291971</v>
      </c>
      <c r="G55" s="8">
        <v>17.09267608</v>
      </c>
      <c r="H55" s="8">
        <v>-1.5697563699999999</v>
      </c>
      <c r="I55" s="8">
        <v>29.938887730000001</v>
      </c>
      <c r="J55" s="7">
        <v>245</v>
      </c>
      <c r="K55" s="7">
        <v>29.46</v>
      </c>
      <c r="L55" s="9">
        <v>235</v>
      </c>
      <c r="M55" s="8">
        <v>28.863340340000001</v>
      </c>
      <c r="N55" s="7">
        <v>224</v>
      </c>
      <c r="O55" s="7">
        <v>21</v>
      </c>
      <c r="P55" s="7">
        <v>1</v>
      </c>
      <c r="Q55" s="9">
        <v>8</v>
      </c>
      <c r="R55" s="7">
        <v>10</v>
      </c>
      <c r="S55" s="39">
        <v>-2</v>
      </c>
    </row>
    <row r="56" spans="1:19" ht="15" x14ac:dyDescent="0.25">
      <c r="A56" s="4">
        <v>55</v>
      </c>
      <c r="B56" s="4">
        <v>8776604</v>
      </c>
      <c r="C56" s="5" t="s">
        <v>92</v>
      </c>
      <c r="D56" s="5" t="s">
        <v>86</v>
      </c>
      <c r="E56" s="5" t="s">
        <v>82</v>
      </c>
      <c r="F56" s="8">
        <v>17.19070954</v>
      </c>
      <c r="G56" s="8">
        <v>19.368384389999999</v>
      </c>
      <c r="H56" s="8">
        <v>-2.1776748499999998</v>
      </c>
      <c r="I56" s="8">
        <v>31.33863225</v>
      </c>
      <c r="J56" s="7">
        <v>224</v>
      </c>
      <c r="K56" s="7">
        <v>30.8</v>
      </c>
      <c r="L56" s="9">
        <v>223</v>
      </c>
      <c r="M56" s="8">
        <v>29.001515149999999</v>
      </c>
      <c r="N56" s="7">
        <v>224</v>
      </c>
      <c r="O56" s="7">
        <v>0</v>
      </c>
      <c r="P56" s="7">
        <v>0</v>
      </c>
      <c r="Q56" s="9">
        <v>8</v>
      </c>
      <c r="R56" s="7">
        <v>10</v>
      </c>
      <c r="S56" s="39">
        <v>-2</v>
      </c>
    </row>
    <row r="57" spans="1:19" ht="15" x14ac:dyDescent="0.25">
      <c r="A57" s="4">
        <v>56</v>
      </c>
      <c r="B57" s="4">
        <v>9755371</v>
      </c>
      <c r="C57" s="5" t="s">
        <v>93</v>
      </c>
      <c r="D57" s="5" t="s">
        <v>94</v>
      </c>
      <c r="E57" s="5" t="s">
        <v>95</v>
      </c>
      <c r="F57" s="8">
        <v>3.587951463</v>
      </c>
      <c r="G57" s="8">
        <v>3.617246089</v>
      </c>
      <c r="H57" s="8">
        <v>-2.9294626000000001E-2</v>
      </c>
      <c r="I57" s="8">
        <v>30.08416149</v>
      </c>
      <c r="J57" s="7">
        <v>254</v>
      </c>
      <c r="K57" s="7">
        <v>29.75</v>
      </c>
      <c r="L57" s="9">
        <v>264</v>
      </c>
      <c r="M57" s="8">
        <v>28.659206059999999</v>
      </c>
      <c r="N57" s="7">
        <v>225</v>
      </c>
      <c r="O57" s="7">
        <v>29</v>
      </c>
      <c r="P57" s="7">
        <v>10</v>
      </c>
      <c r="Q57" s="9">
        <v>9</v>
      </c>
      <c r="R57" s="7">
        <v>10</v>
      </c>
      <c r="S57" s="39">
        <v>-1</v>
      </c>
    </row>
    <row r="58" spans="1:19" ht="15" x14ac:dyDescent="0.25">
      <c r="A58" s="4">
        <v>57</v>
      </c>
      <c r="B58" s="4">
        <v>9751401</v>
      </c>
      <c r="C58" s="5" t="s">
        <v>96</v>
      </c>
      <c r="D58" s="5" t="s">
        <v>97</v>
      </c>
      <c r="E58" s="5" t="s">
        <v>95</v>
      </c>
      <c r="F58" s="8">
        <v>3.6943965140000001</v>
      </c>
      <c r="G58" s="8">
        <v>3.5732763190000001</v>
      </c>
      <c r="H58" s="8">
        <v>0.121120195</v>
      </c>
      <c r="I58" s="8">
        <v>30.0107313</v>
      </c>
      <c r="J58" s="7">
        <v>254</v>
      </c>
      <c r="K58" s="7">
        <v>29.89</v>
      </c>
      <c r="L58" s="9">
        <v>259</v>
      </c>
      <c r="M58" s="8">
        <v>29.221653969999998</v>
      </c>
      <c r="N58" s="7">
        <v>270</v>
      </c>
      <c r="O58" s="7">
        <v>-16</v>
      </c>
      <c r="P58" s="7">
        <v>0</v>
      </c>
      <c r="Q58" s="9">
        <v>9</v>
      </c>
      <c r="R58" s="7">
        <v>10</v>
      </c>
      <c r="S58" s="39">
        <v>-1</v>
      </c>
    </row>
    <row r="59" spans="1:19" ht="15" x14ac:dyDescent="0.25">
      <c r="A59" s="11">
        <v>58</v>
      </c>
      <c r="B59" s="11">
        <v>9075099</v>
      </c>
      <c r="C59" s="12" t="s">
        <v>98</v>
      </c>
      <c r="D59" s="12" t="s">
        <v>99</v>
      </c>
      <c r="E59" s="12" t="s">
        <v>100</v>
      </c>
      <c r="F59" s="8">
        <v>16.594552879999998</v>
      </c>
      <c r="G59" s="8">
        <v>31.522996590000002</v>
      </c>
      <c r="H59" s="8">
        <v>-14.92844371</v>
      </c>
      <c r="I59" s="8">
        <v>17.919346940000001</v>
      </c>
      <c r="J59" s="7">
        <v>227</v>
      </c>
      <c r="K59" s="7">
        <v>17.53</v>
      </c>
      <c r="L59" s="9">
        <v>230</v>
      </c>
      <c r="M59" s="8">
        <v>19.61068306</v>
      </c>
      <c r="N59" s="7">
        <v>213</v>
      </c>
      <c r="O59" s="7">
        <v>14</v>
      </c>
      <c r="P59" s="7">
        <v>18</v>
      </c>
      <c r="Q59" s="9">
        <v>8</v>
      </c>
      <c r="R59" s="7">
        <v>7</v>
      </c>
      <c r="S59" s="39">
        <v>0</v>
      </c>
    </row>
    <row r="60" spans="1:19" ht="15" x14ac:dyDescent="0.25">
      <c r="A60" s="11">
        <v>59</v>
      </c>
      <c r="B60" s="11">
        <v>9075014</v>
      </c>
      <c r="C60" s="12" t="s">
        <v>101</v>
      </c>
      <c r="D60" s="12" t="s">
        <v>99</v>
      </c>
      <c r="E60" s="12" t="s">
        <v>100</v>
      </c>
      <c r="F60" s="8">
        <v>22.20917562</v>
      </c>
      <c r="G60" s="8">
        <v>29.6073658</v>
      </c>
      <c r="H60" s="8">
        <v>-7.3981901800000003</v>
      </c>
      <c r="I60" s="8">
        <v>22.797366289999999</v>
      </c>
      <c r="J60" s="7">
        <v>222</v>
      </c>
      <c r="K60" s="7">
        <v>21.99</v>
      </c>
      <c r="L60" s="9">
        <v>219</v>
      </c>
      <c r="M60" s="8">
        <v>21.821433330000001</v>
      </c>
      <c r="N60" s="7">
        <v>200</v>
      </c>
      <c r="O60" s="7">
        <v>22</v>
      </c>
      <c r="P60" s="7">
        <v>3</v>
      </c>
      <c r="Q60" s="9">
        <v>8</v>
      </c>
      <c r="R60" s="7">
        <v>7</v>
      </c>
      <c r="S60" s="39">
        <v>1</v>
      </c>
    </row>
    <row r="61" spans="1:19" ht="15" x14ac:dyDescent="0.25">
      <c r="A61" s="11">
        <v>60</v>
      </c>
      <c r="B61" s="11">
        <v>9063079</v>
      </c>
      <c r="C61" s="12" t="s">
        <v>102</v>
      </c>
      <c r="D61" s="12" t="s">
        <v>103</v>
      </c>
      <c r="E61" s="12" t="s">
        <v>100</v>
      </c>
      <c r="F61" s="8">
        <v>24.851287169999999</v>
      </c>
      <c r="G61" s="8">
        <v>30.698805149999998</v>
      </c>
      <c r="H61" s="8">
        <v>-5.8475179800000001</v>
      </c>
      <c r="I61" s="8">
        <v>24.91574971</v>
      </c>
      <c r="J61" s="7">
        <v>204</v>
      </c>
      <c r="K61" s="7">
        <v>24.41</v>
      </c>
      <c r="L61" s="9">
        <v>214</v>
      </c>
      <c r="M61" s="8">
        <v>25.20300735</v>
      </c>
      <c r="N61" s="7">
        <v>200</v>
      </c>
      <c r="O61" s="7">
        <v>4</v>
      </c>
      <c r="P61" s="7">
        <v>4</v>
      </c>
      <c r="Q61" s="9">
        <v>8</v>
      </c>
      <c r="R61" s="7">
        <v>6</v>
      </c>
      <c r="S61" s="39">
        <v>1</v>
      </c>
    </row>
    <row r="62" spans="1:19" ht="15" x14ac:dyDescent="0.25">
      <c r="A62" s="11">
        <v>61</v>
      </c>
      <c r="B62" s="11">
        <v>9063063</v>
      </c>
      <c r="C62" s="12" t="s">
        <v>104</v>
      </c>
      <c r="D62" s="12" t="s">
        <v>103</v>
      </c>
      <c r="E62" s="12" t="s">
        <v>100</v>
      </c>
      <c r="F62" s="8">
        <v>20.724296460000001</v>
      </c>
      <c r="G62" s="8">
        <v>28.962121870000001</v>
      </c>
      <c r="H62" s="8">
        <v>-8.2378254099999992</v>
      </c>
      <c r="I62" s="8">
        <v>24.238791079999999</v>
      </c>
      <c r="J62" s="7">
        <v>205</v>
      </c>
      <c r="K62" s="7">
        <v>23.86</v>
      </c>
      <c r="L62" s="9">
        <v>219</v>
      </c>
      <c r="M62" s="8">
        <v>24.31020131</v>
      </c>
      <c r="N62" s="7">
        <v>201</v>
      </c>
      <c r="O62" s="7">
        <v>4</v>
      </c>
      <c r="P62" s="7">
        <v>10</v>
      </c>
      <c r="Q62" s="9">
        <v>8</v>
      </c>
      <c r="R62" s="7">
        <v>6</v>
      </c>
      <c r="S62" s="39">
        <v>2</v>
      </c>
    </row>
    <row r="63" spans="1:19" ht="15" x14ac:dyDescent="0.25">
      <c r="A63" s="11">
        <v>62</v>
      </c>
      <c r="B63" s="11">
        <v>9063020</v>
      </c>
      <c r="C63" s="12" t="s">
        <v>105</v>
      </c>
      <c r="D63" s="12" t="s">
        <v>36</v>
      </c>
      <c r="E63" s="12" t="s">
        <v>100</v>
      </c>
      <c r="F63" s="8">
        <v>24.447334819999998</v>
      </c>
      <c r="G63" s="8">
        <v>29.850361169999999</v>
      </c>
      <c r="H63" s="8">
        <v>-5.4030263500000002</v>
      </c>
      <c r="I63" s="8">
        <v>24.720357199999999</v>
      </c>
      <c r="J63" s="7">
        <v>217</v>
      </c>
      <c r="K63" s="7">
        <v>24.42</v>
      </c>
      <c r="L63" s="9">
        <v>216</v>
      </c>
      <c r="M63" s="8">
        <v>23.024568840000001</v>
      </c>
      <c r="N63" s="7">
        <v>213</v>
      </c>
      <c r="O63" s="7">
        <v>4</v>
      </c>
      <c r="P63" s="7">
        <v>8</v>
      </c>
      <c r="Q63" s="9">
        <v>8</v>
      </c>
      <c r="R63" s="7">
        <v>7</v>
      </c>
      <c r="S63" s="39">
        <v>2</v>
      </c>
    </row>
    <row r="64" spans="1:19" ht="15" x14ac:dyDescent="0.25">
      <c r="A64" s="14">
        <v>63</v>
      </c>
      <c r="B64" s="14">
        <v>9459450</v>
      </c>
      <c r="C64" s="15" t="s">
        <v>106</v>
      </c>
      <c r="D64" s="15" t="s">
        <v>107</v>
      </c>
      <c r="E64" s="15" t="s">
        <v>108</v>
      </c>
      <c r="F64" s="8">
        <v>8.6166205330000007</v>
      </c>
      <c r="G64" s="8">
        <v>14.712000440000001</v>
      </c>
      <c r="H64" s="8">
        <v>-6.0953799069999999</v>
      </c>
      <c r="I64" s="8">
        <v>11.50487693</v>
      </c>
      <c r="J64" s="7">
        <v>242</v>
      </c>
      <c r="K64" s="7">
        <v>11.28</v>
      </c>
      <c r="L64" s="9">
        <v>237</v>
      </c>
      <c r="M64" s="8">
        <v>12.2485119</v>
      </c>
      <c r="N64" s="7">
        <v>230</v>
      </c>
      <c r="O64" s="7">
        <v>12</v>
      </c>
      <c r="P64" s="7">
        <v>21</v>
      </c>
      <c r="Q64" s="9">
        <v>8</v>
      </c>
      <c r="R64" s="7">
        <v>1</v>
      </c>
      <c r="S64" s="39">
        <v>1</v>
      </c>
    </row>
    <row r="65" spans="1:19" ht="15" x14ac:dyDescent="0.25">
      <c r="A65" s="14">
        <v>64</v>
      </c>
      <c r="B65" s="14">
        <v>9455920</v>
      </c>
      <c r="C65" s="15" t="s">
        <v>109</v>
      </c>
      <c r="D65" s="15" t="s">
        <v>107</v>
      </c>
      <c r="E65" s="15" t="s">
        <v>108</v>
      </c>
      <c r="F65" s="8">
        <v>15.59127342</v>
      </c>
      <c r="G65" s="8">
        <v>26.559044830000001</v>
      </c>
      <c r="H65" s="8">
        <v>-10.967771409999999</v>
      </c>
      <c r="I65" s="8">
        <v>14.542735990000001</v>
      </c>
      <c r="J65" s="7">
        <v>203</v>
      </c>
      <c r="K65" s="7">
        <v>14.37</v>
      </c>
      <c r="L65" s="9">
        <v>206</v>
      </c>
      <c r="M65" s="8">
        <v>15.122793870000001</v>
      </c>
      <c r="N65" s="7">
        <v>202</v>
      </c>
      <c r="O65" s="7">
        <v>1</v>
      </c>
      <c r="P65" s="7">
        <v>13</v>
      </c>
      <c r="Q65" s="9">
        <v>7</v>
      </c>
      <c r="R65" s="7">
        <v>10</v>
      </c>
      <c r="S65" s="39">
        <v>-5</v>
      </c>
    </row>
    <row r="66" spans="1:19" ht="15" x14ac:dyDescent="0.25">
      <c r="A66" s="14">
        <v>65</v>
      </c>
      <c r="B66" s="14">
        <v>9455500</v>
      </c>
      <c r="C66" s="15" t="s">
        <v>110</v>
      </c>
      <c r="D66" s="15" t="s">
        <v>107</v>
      </c>
      <c r="E66" s="15" t="s">
        <v>108</v>
      </c>
      <c r="F66" s="8">
        <v>7.5247813739999998</v>
      </c>
      <c r="G66" s="24"/>
      <c r="H66" s="24"/>
      <c r="I66" s="8">
        <v>10.85689155</v>
      </c>
      <c r="J66" s="7">
        <v>229</v>
      </c>
      <c r="K66" s="7">
        <v>10.7</v>
      </c>
      <c r="L66" s="9">
        <v>237</v>
      </c>
      <c r="M66" s="24"/>
      <c r="N66" s="17"/>
      <c r="O66" s="17"/>
      <c r="P66" s="17"/>
      <c r="Q66" s="9">
        <v>8</v>
      </c>
      <c r="R66" s="7">
        <v>12</v>
      </c>
      <c r="S66" s="39">
        <v>-3</v>
      </c>
    </row>
    <row r="67" spans="1:19" ht="15" x14ac:dyDescent="0.25">
      <c r="A67" s="14">
        <v>66</v>
      </c>
      <c r="B67" s="14">
        <v>9454240</v>
      </c>
      <c r="C67" s="15" t="s">
        <v>111</v>
      </c>
      <c r="D67" s="15" t="s">
        <v>107</v>
      </c>
      <c r="E67" s="15" t="s">
        <v>108</v>
      </c>
      <c r="F67" s="8">
        <v>7.7802620310000004</v>
      </c>
      <c r="G67" s="8">
        <v>18.231062869999999</v>
      </c>
      <c r="H67" s="8">
        <v>-10.450800839999999</v>
      </c>
      <c r="I67" s="8">
        <v>11.978666430000001</v>
      </c>
      <c r="J67" s="7">
        <v>216</v>
      </c>
      <c r="K67" s="7">
        <v>11.81</v>
      </c>
      <c r="L67" s="9">
        <v>228</v>
      </c>
      <c r="M67" s="8">
        <v>13.36314103</v>
      </c>
      <c r="N67" s="7">
        <v>203</v>
      </c>
      <c r="O67" s="7">
        <v>13</v>
      </c>
      <c r="P67" s="7">
        <v>28</v>
      </c>
      <c r="Q67" s="9">
        <v>8</v>
      </c>
      <c r="R67" s="7">
        <v>10</v>
      </c>
      <c r="S67" s="39">
        <v>-4</v>
      </c>
    </row>
    <row r="68" spans="1:19" ht="15" x14ac:dyDescent="0.25">
      <c r="A68" s="14">
        <v>67</v>
      </c>
      <c r="B68" s="14">
        <v>9455090</v>
      </c>
      <c r="C68" s="15" t="s">
        <v>112</v>
      </c>
      <c r="D68" s="15" t="s">
        <v>107</v>
      </c>
      <c r="E68" s="15" t="s">
        <v>108</v>
      </c>
      <c r="F68" s="8">
        <v>9.7175032340000005</v>
      </c>
      <c r="G68" s="24"/>
      <c r="H68" s="24"/>
      <c r="I68" s="8">
        <v>13.87591834</v>
      </c>
      <c r="J68" s="7">
        <v>227</v>
      </c>
      <c r="K68" s="7">
        <v>13.61</v>
      </c>
      <c r="L68" s="9">
        <v>228</v>
      </c>
      <c r="M68" s="24"/>
      <c r="N68" s="17"/>
      <c r="O68" s="17"/>
      <c r="P68" s="17"/>
      <c r="Q68" s="9">
        <v>8</v>
      </c>
      <c r="R68" s="7">
        <v>12</v>
      </c>
      <c r="S68" s="39">
        <v>-2</v>
      </c>
    </row>
    <row r="69" spans="1:19" ht="15" x14ac:dyDescent="0.25">
      <c r="A69" s="14">
        <v>68</v>
      </c>
      <c r="B69" s="14">
        <v>9453220</v>
      </c>
      <c r="C69" s="15" t="s">
        <v>113</v>
      </c>
      <c r="D69" s="15" t="s">
        <v>107</v>
      </c>
      <c r="E69" s="15" t="s">
        <v>108</v>
      </c>
      <c r="F69" s="8">
        <v>9.092576352</v>
      </c>
      <c r="G69" s="24"/>
      <c r="H69" s="24"/>
      <c r="I69" s="8">
        <v>13.49532847</v>
      </c>
      <c r="J69" s="7">
        <v>232</v>
      </c>
      <c r="K69" s="7">
        <v>13.16</v>
      </c>
      <c r="L69" s="9">
        <v>225</v>
      </c>
      <c r="M69" s="24"/>
      <c r="N69" s="17"/>
      <c r="O69" s="17"/>
      <c r="P69" s="17"/>
      <c r="Q69" s="9">
        <v>8</v>
      </c>
      <c r="R69" s="7">
        <v>12</v>
      </c>
      <c r="S69" s="39">
        <v>-4</v>
      </c>
    </row>
    <row r="70" spans="1:19" ht="15" x14ac:dyDescent="0.25">
      <c r="A70" s="14">
        <v>69</v>
      </c>
      <c r="B70" s="14">
        <v>9452210</v>
      </c>
      <c r="C70" s="15" t="s">
        <v>114</v>
      </c>
      <c r="D70" s="15" t="s">
        <v>107</v>
      </c>
      <c r="E70" s="15" t="s">
        <v>108</v>
      </c>
      <c r="F70" s="8">
        <v>6.7906328729999998</v>
      </c>
      <c r="G70" s="8">
        <v>16.958438480000002</v>
      </c>
      <c r="H70" s="8">
        <v>-10.16780561</v>
      </c>
      <c r="I70" s="8">
        <v>10.01716038</v>
      </c>
      <c r="J70" s="7">
        <v>219</v>
      </c>
      <c r="K70" s="7">
        <v>9.6</v>
      </c>
      <c r="L70" s="9">
        <v>228</v>
      </c>
      <c r="M70" s="8">
        <v>15.29710145</v>
      </c>
      <c r="N70" s="7">
        <v>187</v>
      </c>
      <c r="O70" s="7">
        <v>32</v>
      </c>
      <c r="P70" s="7">
        <v>19</v>
      </c>
      <c r="Q70" s="9">
        <v>8</v>
      </c>
      <c r="R70" s="7">
        <v>11</v>
      </c>
      <c r="S70" s="39">
        <v>-4</v>
      </c>
    </row>
    <row r="71" spans="1:19" ht="15" x14ac:dyDescent="0.25">
      <c r="A71" s="14">
        <v>70</v>
      </c>
      <c r="B71" s="14">
        <v>9451600</v>
      </c>
      <c r="C71" s="15" t="s">
        <v>115</v>
      </c>
      <c r="D71" s="15" t="s">
        <v>107</v>
      </c>
      <c r="E71" s="15" t="s">
        <v>108</v>
      </c>
      <c r="F71" s="8">
        <v>8.552865787</v>
      </c>
      <c r="G71" s="8">
        <v>14.07247327</v>
      </c>
      <c r="H71" s="8">
        <v>-5.5196074829999997</v>
      </c>
      <c r="I71" s="8">
        <v>13.95905688</v>
      </c>
      <c r="J71" s="7">
        <v>228</v>
      </c>
      <c r="K71" s="7">
        <v>13.81</v>
      </c>
      <c r="L71" s="9">
        <v>231</v>
      </c>
      <c r="M71" s="8">
        <v>15.30334448</v>
      </c>
      <c r="N71" s="7">
        <v>216</v>
      </c>
      <c r="O71" s="7">
        <v>12</v>
      </c>
      <c r="P71" s="7">
        <v>20</v>
      </c>
      <c r="Q71" s="9">
        <v>8</v>
      </c>
      <c r="R71" s="7">
        <v>12</v>
      </c>
      <c r="S71" s="39">
        <v>-3</v>
      </c>
    </row>
    <row r="72" spans="1:19" ht="15" x14ac:dyDescent="0.25">
      <c r="A72" s="14">
        <v>71</v>
      </c>
      <c r="B72" s="14">
        <v>9450460</v>
      </c>
      <c r="C72" s="15" t="s">
        <v>116</v>
      </c>
      <c r="D72" s="15" t="s">
        <v>107</v>
      </c>
      <c r="E72" s="15" t="s">
        <v>108</v>
      </c>
      <c r="F72" s="8">
        <v>8.2420226640000003</v>
      </c>
      <c r="G72" s="8">
        <v>14.96811582</v>
      </c>
      <c r="H72" s="8">
        <v>-6.7260931560000001</v>
      </c>
      <c r="I72" s="8">
        <v>14.067998770000001</v>
      </c>
      <c r="J72" s="7">
        <v>218</v>
      </c>
      <c r="K72" s="7">
        <v>13.81</v>
      </c>
      <c r="L72" s="9">
        <v>213</v>
      </c>
      <c r="M72" s="8">
        <v>16.110195709999999</v>
      </c>
      <c r="N72" s="7">
        <v>210</v>
      </c>
      <c r="O72" s="7">
        <v>8</v>
      </c>
      <c r="P72" s="7">
        <v>11</v>
      </c>
      <c r="Q72" s="9">
        <v>8</v>
      </c>
      <c r="R72" s="7">
        <v>12</v>
      </c>
      <c r="S72" s="39">
        <v>-4</v>
      </c>
    </row>
    <row r="73" spans="1:19" ht="15" x14ac:dyDescent="0.25">
      <c r="A73" s="14">
        <v>72</v>
      </c>
      <c r="B73" s="14">
        <v>9449880</v>
      </c>
      <c r="C73" s="15" t="s">
        <v>117</v>
      </c>
      <c r="D73" s="15" t="s">
        <v>118</v>
      </c>
      <c r="E73" s="15" t="s">
        <v>119</v>
      </c>
      <c r="F73" s="8">
        <v>4.0336735270000004</v>
      </c>
      <c r="G73" s="24"/>
      <c r="H73" s="24"/>
      <c r="I73" s="8">
        <v>11.841876170000001</v>
      </c>
      <c r="J73" s="7">
        <v>227</v>
      </c>
      <c r="K73" s="7">
        <v>11.56</v>
      </c>
      <c r="L73" s="9">
        <v>228</v>
      </c>
      <c r="M73" s="24"/>
      <c r="N73" s="17"/>
      <c r="O73" s="17"/>
      <c r="P73" s="17"/>
      <c r="Q73" s="9">
        <v>8</v>
      </c>
      <c r="R73" s="7">
        <v>12</v>
      </c>
      <c r="S73" s="39">
        <v>-4</v>
      </c>
    </row>
    <row r="74" spans="1:19" ht="15" x14ac:dyDescent="0.25">
      <c r="A74" s="14">
        <v>73</v>
      </c>
      <c r="B74" s="14">
        <v>9444090</v>
      </c>
      <c r="C74" s="15" t="s">
        <v>120</v>
      </c>
      <c r="D74" s="15" t="s">
        <v>118</v>
      </c>
      <c r="E74" s="15" t="s">
        <v>119</v>
      </c>
      <c r="F74" s="8">
        <v>3.7148465800000001</v>
      </c>
      <c r="G74" s="8">
        <v>11.542081810000001</v>
      </c>
      <c r="H74" s="8">
        <v>-7.8272352300000003</v>
      </c>
      <c r="I74" s="8">
        <v>11.537382940000001</v>
      </c>
      <c r="J74" s="7">
        <v>219</v>
      </c>
      <c r="K74" s="7">
        <v>11.24</v>
      </c>
      <c r="L74" s="9">
        <v>220</v>
      </c>
      <c r="M74" s="8">
        <v>15.55491825</v>
      </c>
      <c r="N74" s="7">
        <v>225</v>
      </c>
      <c r="O74" s="7">
        <v>-6</v>
      </c>
      <c r="P74" s="7">
        <v>11</v>
      </c>
      <c r="Q74" s="9">
        <v>8</v>
      </c>
      <c r="R74" s="7">
        <v>1</v>
      </c>
      <c r="S74" s="39">
        <v>-4</v>
      </c>
    </row>
    <row r="75" spans="1:19" ht="15" x14ac:dyDescent="0.25">
      <c r="A75" s="14">
        <v>74</v>
      </c>
      <c r="B75" s="14">
        <v>9444900</v>
      </c>
      <c r="C75" s="15" t="s">
        <v>121</v>
      </c>
      <c r="D75" s="15" t="s">
        <v>118</v>
      </c>
      <c r="E75" s="15" t="s">
        <v>119</v>
      </c>
      <c r="F75" s="8">
        <v>3.8952723329999999</v>
      </c>
      <c r="G75" s="8">
        <v>12.17785664</v>
      </c>
      <c r="H75" s="8">
        <v>-8.2825843070000005</v>
      </c>
      <c r="I75" s="8">
        <v>11.74994777</v>
      </c>
      <c r="J75" s="7">
        <v>233</v>
      </c>
      <c r="K75" s="7">
        <v>11.62</v>
      </c>
      <c r="L75" s="9">
        <v>225</v>
      </c>
      <c r="M75" s="8">
        <v>16.76673624</v>
      </c>
      <c r="N75" s="7">
        <v>230</v>
      </c>
      <c r="O75" s="7">
        <v>3</v>
      </c>
      <c r="P75" s="7">
        <v>16</v>
      </c>
      <c r="Q75" s="9">
        <v>8</v>
      </c>
      <c r="R75" s="7">
        <v>1</v>
      </c>
      <c r="S75" s="39">
        <v>-5</v>
      </c>
    </row>
    <row r="76" spans="1:19" ht="15" x14ac:dyDescent="0.25">
      <c r="A76" s="14">
        <v>75</v>
      </c>
      <c r="B76" s="14">
        <v>9447130</v>
      </c>
      <c r="C76" s="15" t="s">
        <v>122</v>
      </c>
      <c r="D76" s="15" t="s">
        <v>118</v>
      </c>
      <c r="E76" s="15" t="s">
        <v>119</v>
      </c>
      <c r="F76" s="8">
        <v>5.0627606839999997</v>
      </c>
      <c r="G76" s="8">
        <v>12.72602023</v>
      </c>
      <c r="H76" s="8">
        <v>-7.6632595459999999</v>
      </c>
      <c r="I76" s="8">
        <v>13.338125339999999</v>
      </c>
      <c r="J76" s="7">
        <v>230</v>
      </c>
      <c r="K76" s="7">
        <v>13.26</v>
      </c>
      <c r="L76" s="9">
        <v>239</v>
      </c>
      <c r="M76" s="8">
        <v>18.086914549999999</v>
      </c>
      <c r="N76" s="7">
        <v>226</v>
      </c>
      <c r="O76" s="7">
        <v>4</v>
      </c>
      <c r="P76" s="7">
        <v>33</v>
      </c>
      <c r="Q76" s="9">
        <v>8</v>
      </c>
      <c r="R76" s="7">
        <v>1</v>
      </c>
      <c r="S76" s="39">
        <v>-5</v>
      </c>
    </row>
    <row r="77" spans="1:19" ht="15" x14ac:dyDescent="0.25">
      <c r="A77" s="14">
        <v>76</v>
      </c>
      <c r="B77" s="14">
        <v>9446484</v>
      </c>
      <c r="C77" s="15" t="s">
        <v>123</v>
      </c>
      <c r="D77" s="15" t="s">
        <v>118</v>
      </c>
      <c r="E77" s="15" t="s">
        <v>119</v>
      </c>
      <c r="F77" s="8">
        <v>5.0099960350000003</v>
      </c>
      <c r="G77" s="8">
        <v>16.555511320000001</v>
      </c>
      <c r="H77" s="8">
        <v>-11.545515290000001</v>
      </c>
      <c r="I77" s="8">
        <v>13.064457859999999</v>
      </c>
      <c r="J77" s="7">
        <v>256</v>
      </c>
      <c r="K77" s="7">
        <v>12.99</v>
      </c>
      <c r="L77" s="9">
        <v>244</v>
      </c>
      <c r="M77" s="8">
        <v>19.60389249</v>
      </c>
      <c r="N77" s="7">
        <v>217</v>
      </c>
      <c r="O77" s="7">
        <v>39</v>
      </c>
      <c r="P77" s="7">
        <v>41</v>
      </c>
      <c r="Q77" s="9">
        <v>8</v>
      </c>
      <c r="R77" s="7">
        <v>1</v>
      </c>
      <c r="S77" s="39">
        <v>-5</v>
      </c>
    </row>
    <row r="78" spans="1:19" ht="15" x14ac:dyDescent="0.25">
      <c r="A78" s="14">
        <v>77</v>
      </c>
      <c r="B78" s="14">
        <v>9440910</v>
      </c>
      <c r="C78" s="15" t="s">
        <v>124</v>
      </c>
      <c r="D78" s="15" t="s">
        <v>118</v>
      </c>
      <c r="E78" s="15" t="s">
        <v>119</v>
      </c>
      <c r="F78" s="8">
        <v>10.127384729999999</v>
      </c>
      <c r="G78" s="8">
        <v>10.420196069999999</v>
      </c>
      <c r="H78" s="8">
        <v>-0.29281133999999998</v>
      </c>
      <c r="I78" s="8">
        <v>17.589558390000001</v>
      </c>
      <c r="J78" s="7">
        <v>226</v>
      </c>
      <c r="K78" s="7">
        <v>16.88</v>
      </c>
      <c r="L78" s="9">
        <v>227</v>
      </c>
      <c r="M78" s="8">
        <v>16.175800250000002</v>
      </c>
      <c r="N78" s="7">
        <v>252</v>
      </c>
      <c r="O78" s="7">
        <v>-26</v>
      </c>
      <c r="P78" s="7">
        <v>-3</v>
      </c>
      <c r="Q78" s="9">
        <v>8</v>
      </c>
      <c r="R78" s="7">
        <v>1</v>
      </c>
      <c r="S78" s="39">
        <v>-5</v>
      </c>
    </row>
    <row r="79" spans="1:19" ht="15" x14ac:dyDescent="0.25">
      <c r="A79" s="14">
        <v>78</v>
      </c>
      <c r="B79" s="14">
        <v>9435380</v>
      </c>
      <c r="C79" s="15" t="s">
        <v>125</v>
      </c>
      <c r="D79" s="15" t="s">
        <v>126</v>
      </c>
      <c r="E79" s="15" t="s">
        <v>119</v>
      </c>
      <c r="F79" s="8">
        <v>3.5234221460000001</v>
      </c>
      <c r="G79" s="8">
        <v>8.2209914089999998</v>
      </c>
      <c r="H79" s="8">
        <v>-4.6975692630000001</v>
      </c>
      <c r="I79" s="8">
        <v>13.104698859999999</v>
      </c>
      <c r="J79" s="7">
        <v>263</v>
      </c>
      <c r="K79" s="7">
        <v>12.56</v>
      </c>
      <c r="L79" s="9">
        <v>258</v>
      </c>
      <c r="M79" s="8">
        <v>15.03128285</v>
      </c>
      <c r="N79" s="7">
        <v>228</v>
      </c>
      <c r="O79" s="7">
        <v>35</v>
      </c>
      <c r="P79" s="7">
        <v>4</v>
      </c>
      <c r="Q79" s="9">
        <v>9</v>
      </c>
      <c r="R79" s="7">
        <v>1</v>
      </c>
      <c r="S79" s="39">
        <v>-5</v>
      </c>
    </row>
    <row r="80" spans="1:19" ht="15" x14ac:dyDescent="0.25">
      <c r="A80" s="14">
        <v>79</v>
      </c>
      <c r="B80" s="14">
        <v>9432780</v>
      </c>
      <c r="C80" s="15" t="s">
        <v>127</v>
      </c>
      <c r="D80" s="15" t="s">
        <v>126</v>
      </c>
      <c r="E80" s="15" t="s">
        <v>119</v>
      </c>
      <c r="F80" s="8">
        <v>2.8338857769999999</v>
      </c>
      <c r="G80" s="24"/>
      <c r="H80" s="24"/>
      <c r="I80" s="24"/>
      <c r="J80" s="17"/>
      <c r="K80" s="7">
        <v>12.32</v>
      </c>
      <c r="L80" s="9">
        <v>167</v>
      </c>
      <c r="M80" s="24"/>
      <c r="N80" s="25"/>
      <c r="O80" s="17"/>
      <c r="P80" s="17"/>
      <c r="Q80" s="9">
        <v>6</v>
      </c>
      <c r="R80" s="7">
        <v>1</v>
      </c>
      <c r="S80" s="39">
        <v>-4</v>
      </c>
    </row>
    <row r="81" spans="1:19" ht="15" x14ac:dyDescent="0.25">
      <c r="A81" s="14">
        <v>80</v>
      </c>
      <c r="B81" s="14">
        <v>9431647</v>
      </c>
      <c r="C81" s="15" t="s">
        <v>128</v>
      </c>
      <c r="D81" s="15" t="s">
        <v>126</v>
      </c>
      <c r="E81" s="15" t="s">
        <v>119</v>
      </c>
      <c r="F81" s="8">
        <v>3.23766774</v>
      </c>
      <c r="G81" s="8">
        <v>8.3395039260000008</v>
      </c>
      <c r="H81" s="8">
        <v>-5.1018361859999999</v>
      </c>
      <c r="I81" s="8">
        <v>11.74572101</v>
      </c>
      <c r="J81" s="7">
        <v>274</v>
      </c>
      <c r="K81" s="7">
        <v>11.35</v>
      </c>
      <c r="L81" s="9">
        <v>311</v>
      </c>
      <c r="M81" s="8">
        <v>15.927829210000001</v>
      </c>
      <c r="N81" s="7">
        <v>228</v>
      </c>
      <c r="O81" s="7">
        <v>46</v>
      </c>
      <c r="P81" s="7">
        <v>92</v>
      </c>
      <c r="Q81" s="9">
        <v>11</v>
      </c>
      <c r="R81" s="7">
        <v>1</v>
      </c>
      <c r="S81" s="39">
        <v>5</v>
      </c>
    </row>
    <row r="82" spans="1:19" ht="15" x14ac:dyDescent="0.25">
      <c r="A82" s="14">
        <v>81</v>
      </c>
      <c r="B82" s="14">
        <v>9419750</v>
      </c>
      <c r="C82" s="15" t="s">
        <v>129</v>
      </c>
      <c r="D82" s="15" t="s">
        <v>130</v>
      </c>
      <c r="E82" s="15" t="s">
        <v>119</v>
      </c>
      <c r="F82" s="8">
        <v>4.9709599950000003</v>
      </c>
      <c r="G82" s="8">
        <v>6.8903683569999998</v>
      </c>
      <c r="H82" s="8">
        <v>-1.919408362</v>
      </c>
      <c r="I82" s="8">
        <v>15.28575487</v>
      </c>
      <c r="J82" s="7">
        <v>238</v>
      </c>
      <c r="K82" s="7">
        <v>14.71</v>
      </c>
      <c r="L82" s="9">
        <v>223</v>
      </c>
      <c r="M82" s="8">
        <v>14.25966184</v>
      </c>
      <c r="N82" s="7">
        <v>244</v>
      </c>
      <c r="O82" s="7">
        <v>-6</v>
      </c>
      <c r="P82" s="7">
        <v>0</v>
      </c>
      <c r="Q82" s="9">
        <v>8</v>
      </c>
      <c r="R82" s="7">
        <v>1</v>
      </c>
      <c r="S82" s="39">
        <v>-2</v>
      </c>
    </row>
    <row r="83" spans="1:19" ht="15" x14ac:dyDescent="0.25">
      <c r="A83" s="14">
        <v>82</v>
      </c>
      <c r="B83" s="14">
        <v>9418767</v>
      </c>
      <c r="C83" s="15" t="s">
        <v>131</v>
      </c>
      <c r="D83" s="15" t="s">
        <v>130</v>
      </c>
      <c r="E83" s="15" t="s">
        <v>119</v>
      </c>
      <c r="F83" s="8">
        <v>3.0433599419999999</v>
      </c>
      <c r="G83" s="24"/>
      <c r="H83" s="24"/>
      <c r="I83" s="24"/>
      <c r="J83" s="17"/>
      <c r="K83" s="7">
        <v>12.95</v>
      </c>
      <c r="L83" s="9">
        <v>235</v>
      </c>
      <c r="M83" s="24"/>
      <c r="N83" s="25"/>
      <c r="O83" s="17"/>
      <c r="P83" s="17"/>
      <c r="Q83" s="9">
        <v>8</v>
      </c>
      <c r="R83" s="7">
        <v>1</v>
      </c>
      <c r="S83" s="39">
        <v>-5</v>
      </c>
    </row>
    <row r="84" spans="1:19" ht="15" x14ac:dyDescent="0.25">
      <c r="A84" s="14">
        <v>83</v>
      </c>
      <c r="B84" s="14">
        <v>9416841</v>
      </c>
      <c r="C84" s="15" t="s">
        <v>132</v>
      </c>
      <c r="D84" s="15" t="s">
        <v>130</v>
      </c>
      <c r="E84" s="15" t="s">
        <v>119</v>
      </c>
      <c r="F84" s="8">
        <v>2.6845542849999999</v>
      </c>
      <c r="G84" s="8">
        <v>5.503559665</v>
      </c>
      <c r="H84" s="8">
        <v>-2.8190053800000001</v>
      </c>
      <c r="I84" s="8">
        <v>12.231478689999999</v>
      </c>
      <c r="J84" s="7">
        <v>258</v>
      </c>
      <c r="K84" s="7">
        <v>11.93</v>
      </c>
      <c r="L84" s="9">
        <v>314</v>
      </c>
      <c r="M84" s="8">
        <v>14.33260671</v>
      </c>
      <c r="N84" s="7">
        <v>263</v>
      </c>
      <c r="O84" s="7">
        <v>-5</v>
      </c>
      <c r="P84" s="7">
        <v>92</v>
      </c>
      <c r="Q84" s="9">
        <v>11</v>
      </c>
      <c r="R84" s="7">
        <v>1</v>
      </c>
      <c r="S84" s="39">
        <v>-5</v>
      </c>
    </row>
    <row r="85" spans="1:19" ht="15" x14ac:dyDescent="0.25">
      <c r="A85" s="14">
        <v>84</v>
      </c>
      <c r="B85" s="14">
        <v>9415144</v>
      </c>
      <c r="C85" s="15" t="s">
        <v>133</v>
      </c>
      <c r="D85" s="15" t="s">
        <v>130</v>
      </c>
      <c r="E85" s="15" t="s">
        <v>134</v>
      </c>
      <c r="F85" s="8">
        <v>11.7630625</v>
      </c>
      <c r="G85" s="8">
        <v>12.65956634</v>
      </c>
      <c r="H85" s="8">
        <v>-0.89650384000000005</v>
      </c>
      <c r="I85" s="8">
        <v>21.20729167</v>
      </c>
      <c r="J85" s="7">
        <v>229</v>
      </c>
      <c r="K85" s="7">
        <v>20.99</v>
      </c>
      <c r="L85" s="9">
        <v>211</v>
      </c>
      <c r="M85" s="8">
        <v>20.81037538</v>
      </c>
      <c r="N85" s="7">
        <v>250</v>
      </c>
      <c r="O85" s="7">
        <v>-21</v>
      </c>
      <c r="P85" s="7">
        <v>2</v>
      </c>
      <c r="Q85" s="9">
        <v>7</v>
      </c>
      <c r="R85" s="7">
        <v>7</v>
      </c>
      <c r="S85" s="39">
        <v>-2</v>
      </c>
    </row>
    <row r="86" spans="1:19" ht="15" x14ac:dyDescent="0.25">
      <c r="A86" s="14">
        <v>85</v>
      </c>
      <c r="B86" s="14">
        <v>9414863</v>
      </c>
      <c r="C86" s="15" t="s">
        <v>135</v>
      </c>
      <c r="D86" s="15" t="s">
        <v>130</v>
      </c>
      <c r="E86" s="15" t="s">
        <v>134</v>
      </c>
      <c r="F86" s="8">
        <v>7.3156052249999997</v>
      </c>
      <c r="G86" s="8">
        <v>8.361408376</v>
      </c>
      <c r="H86" s="8">
        <v>-1.0458031510000001</v>
      </c>
      <c r="I86" s="8">
        <v>18.31346465</v>
      </c>
      <c r="J86" s="7">
        <v>242</v>
      </c>
      <c r="K86" s="7">
        <v>18.22</v>
      </c>
      <c r="L86" s="9">
        <v>237</v>
      </c>
      <c r="M86" s="8">
        <v>18.05906134</v>
      </c>
      <c r="N86" s="7">
        <v>250</v>
      </c>
      <c r="O86" s="7">
        <v>-8</v>
      </c>
      <c r="P86" s="7">
        <v>0</v>
      </c>
      <c r="Q86" s="9">
        <v>8</v>
      </c>
      <c r="R86" s="7">
        <v>9</v>
      </c>
      <c r="S86" s="39">
        <v>0</v>
      </c>
    </row>
    <row r="87" spans="1:19" ht="15" x14ac:dyDescent="0.25">
      <c r="A87" s="14">
        <v>86</v>
      </c>
      <c r="B87" s="14">
        <v>9414750</v>
      </c>
      <c r="C87" s="15" t="s">
        <v>136</v>
      </c>
      <c r="D87" s="15" t="s">
        <v>130</v>
      </c>
      <c r="E87" s="15" t="s">
        <v>134</v>
      </c>
      <c r="F87" s="8">
        <v>9.7394148690000009</v>
      </c>
      <c r="G87" s="8">
        <v>8.1437499740000003</v>
      </c>
      <c r="H87" s="8">
        <v>1.5956648950000001</v>
      </c>
      <c r="I87" s="8">
        <v>20.536247280000001</v>
      </c>
      <c r="J87" s="7">
        <v>229</v>
      </c>
      <c r="K87" s="7">
        <v>20.309999999999999</v>
      </c>
      <c r="L87" s="9">
        <v>232</v>
      </c>
      <c r="M87" s="8">
        <v>17.978881149999999</v>
      </c>
      <c r="N87" s="7">
        <v>250</v>
      </c>
      <c r="O87" s="7">
        <v>-21</v>
      </c>
      <c r="P87" s="7">
        <v>-7</v>
      </c>
      <c r="Q87" s="9">
        <v>8</v>
      </c>
      <c r="R87" s="7">
        <v>9</v>
      </c>
      <c r="S87" s="39">
        <v>-1</v>
      </c>
    </row>
    <row r="88" spans="1:19" ht="15" x14ac:dyDescent="0.25">
      <c r="A88" s="14">
        <v>87</v>
      </c>
      <c r="B88" s="14">
        <v>9414290</v>
      </c>
      <c r="C88" s="15" t="s">
        <v>137</v>
      </c>
      <c r="D88" s="15" t="s">
        <v>130</v>
      </c>
      <c r="E88" s="15" t="s">
        <v>134</v>
      </c>
      <c r="F88" s="8">
        <v>5.1969328199999998</v>
      </c>
      <c r="G88" s="8">
        <v>5.8045741890000002</v>
      </c>
      <c r="H88" s="8">
        <v>-0.60764136899999999</v>
      </c>
      <c r="I88" s="8">
        <v>16.4855068</v>
      </c>
      <c r="J88" s="7">
        <v>242</v>
      </c>
      <c r="K88" s="7">
        <v>16.309999999999999</v>
      </c>
      <c r="L88" s="9">
        <v>249</v>
      </c>
      <c r="M88" s="8">
        <v>15.65865666</v>
      </c>
      <c r="N88" s="7">
        <v>263</v>
      </c>
      <c r="O88" s="7">
        <v>-21</v>
      </c>
      <c r="P88" s="7">
        <v>0</v>
      </c>
      <c r="Q88" s="9">
        <v>9</v>
      </c>
      <c r="R88" s="7">
        <v>9</v>
      </c>
      <c r="S88" s="39">
        <v>-1</v>
      </c>
    </row>
    <row r="89" spans="1:19" ht="15" x14ac:dyDescent="0.25">
      <c r="A89" s="14">
        <v>88</v>
      </c>
      <c r="B89" s="14">
        <v>9412110</v>
      </c>
      <c r="C89" s="15" t="s">
        <v>138</v>
      </c>
      <c r="D89" s="15" t="s">
        <v>130</v>
      </c>
      <c r="E89" s="15" t="s">
        <v>134</v>
      </c>
      <c r="F89" s="8">
        <v>3.7713208420000002</v>
      </c>
      <c r="G89" s="8">
        <v>6.5737516109999996</v>
      </c>
      <c r="H89" s="8">
        <v>-2.8024307689999999</v>
      </c>
      <c r="I89" s="8">
        <v>15.47078698</v>
      </c>
      <c r="J89" s="7">
        <v>240</v>
      </c>
      <c r="K89" s="7">
        <v>15.32</v>
      </c>
      <c r="L89" s="9">
        <v>251</v>
      </c>
      <c r="M89" s="8">
        <v>17.508600099999999</v>
      </c>
      <c r="N89" s="7">
        <v>288</v>
      </c>
      <c r="O89" s="7">
        <v>-48</v>
      </c>
      <c r="P89" s="7">
        <v>4</v>
      </c>
      <c r="Q89" s="9">
        <v>9</v>
      </c>
      <c r="R89" s="7">
        <v>9</v>
      </c>
      <c r="S89" s="39">
        <v>0</v>
      </c>
    </row>
    <row r="90" spans="1:19" ht="15" x14ac:dyDescent="0.25">
      <c r="A90" s="14">
        <v>89</v>
      </c>
      <c r="B90" s="14">
        <v>9410660</v>
      </c>
      <c r="C90" s="15" t="s">
        <v>139</v>
      </c>
      <c r="D90" s="15" t="s">
        <v>130</v>
      </c>
      <c r="E90" s="15" t="s">
        <v>134</v>
      </c>
      <c r="F90" s="8">
        <v>4.2004318720000002</v>
      </c>
      <c r="G90" s="24"/>
      <c r="H90" s="24"/>
      <c r="I90" s="8">
        <v>18.86018335</v>
      </c>
      <c r="J90" s="7">
        <v>254</v>
      </c>
      <c r="K90" s="7">
        <v>18.52</v>
      </c>
      <c r="L90" s="9">
        <v>250</v>
      </c>
      <c r="M90" s="24"/>
      <c r="N90" s="17"/>
      <c r="O90" s="17"/>
      <c r="P90" s="17"/>
      <c r="Q90" s="9">
        <v>9</v>
      </c>
      <c r="R90" s="7">
        <v>9</v>
      </c>
      <c r="S90" s="39">
        <v>0</v>
      </c>
    </row>
    <row r="91" spans="1:19" ht="15" x14ac:dyDescent="0.25">
      <c r="A91" s="14">
        <v>90</v>
      </c>
      <c r="B91" s="14">
        <v>9410230</v>
      </c>
      <c r="C91" s="15" t="s">
        <v>140</v>
      </c>
      <c r="D91" s="15" t="s">
        <v>130</v>
      </c>
      <c r="E91" s="15" t="s">
        <v>134</v>
      </c>
      <c r="F91" s="8">
        <v>6.0021783370000001</v>
      </c>
      <c r="G91" s="8">
        <v>8.9680839090000006</v>
      </c>
      <c r="H91" s="8">
        <v>-2.965905572</v>
      </c>
      <c r="I91" s="8">
        <v>20.833941939999999</v>
      </c>
      <c r="J91" s="7">
        <v>209</v>
      </c>
      <c r="K91" s="7">
        <v>20.010000000000002</v>
      </c>
      <c r="L91" s="9">
        <v>237</v>
      </c>
      <c r="M91" s="8">
        <v>21.596842649999999</v>
      </c>
      <c r="N91" s="7">
        <v>250</v>
      </c>
      <c r="O91" s="7">
        <v>-41</v>
      </c>
      <c r="P91" s="7">
        <v>-10</v>
      </c>
      <c r="Q91" s="9">
        <v>8</v>
      </c>
      <c r="R91" s="7">
        <v>9</v>
      </c>
      <c r="S91" s="39">
        <v>0</v>
      </c>
    </row>
    <row r="92" spans="1:19" ht="15" x14ac:dyDescent="0.25">
      <c r="A92" s="14">
        <v>91</v>
      </c>
      <c r="B92" s="14">
        <v>1617433</v>
      </c>
      <c r="C92" s="15" t="s">
        <v>141</v>
      </c>
      <c r="D92" s="15" t="s">
        <v>142</v>
      </c>
      <c r="E92" s="15" t="s">
        <v>143</v>
      </c>
      <c r="F92" s="8">
        <v>3.0561484170000002</v>
      </c>
      <c r="G92" s="8">
        <v>3.8732336260000002</v>
      </c>
      <c r="H92" s="8">
        <v>-0.81708520900000003</v>
      </c>
      <c r="I92" s="8">
        <v>28.09175578</v>
      </c>
      <c r="J92" s="7">
        <v>250</v>
      </c>
      <c r="K92" s="7">
        <v>27.99</v>
      </c>
      <c r="L92" s="9">
        <v>254</v>
      </c>
      <c r="M92" s="8">
        <v>27.071707119999999</v>
      </c>
      <c r="N92" s="7">
        <v>233</v>
      </c>
      <c r="O92" s="7">
        <v>17</v>
      </c>
      <c r="P92" s="7">
        <v>5</v>
      </c>
      <c r="Q92" s="9">
        <v>9</v>
      </c>
      <c r="R92" s="7">
        <v>9</v>
      </c>
      <c r="S92" s="39">
        <v>-1</v>
      </c>
    </row>
    <row r="93" spans="1:19" ht="15" x14ac:dyDescent="0.25">
      <c r="A93" s="14">
        <v>92</v>
      </c>
      <c r="B93" s="14">
        <v>1615680</v>
      </c>
      <c r="C93" s="15" t="s">
        <v>144</v>
      </c>
      <c r="D93" s="15" t="s">
        <v>142</v>
      </c>
      <c r="E93" s="15" t="s">
        <v>143</v>
      </c>
      <c r="F93" s="8">
        <v>3.1180415049999999</v>
      </c>
      <c r="G93" s="8">
        <v>3.9362922999999999</v>
      </c>
      <c r="H93" s="8">
        <v>-0.81825079499999998</v>
      </c>
      <c r="I93" s="8">
        <v>27.129205750000001</v>
      </c>
      <c r="J93" s="7">
        <v>251</v>
      </c>
      <c r="K93" s="7">
        <v>26.99</v>
      </c>
      <c r="L93" s="9">
        <v>251</v>
      </c>
      <c r="M93" s="8">
        <v>25.909958620000001</v>
      </c>
      <c r="N93" s="7">
        <v>245</v>
      </c>
      <c r="O93" s="7">
        <v>6</v>
      </c>
      <c r="P93" s="7">
        <v>0</v>
      </c>
      <c r="Q93" s="9">
        <v>9</v>
      </c>
      <c r="R93" s="7">
        <v>9</v>
      </c>
      <c r="S93" s="39">
        <v>0</v>
      </c>
    </row>
    <row r="94" spans="1:19" ht="15" x14ac:dyDescent="0.25">
      <c r="A94" s="14">
        <v>93</v>
      </c>
      <c r="B94" s="14">
        <v>1612480</v>
      </c>
      <c r="C94" s="15" t="s">
        <v>145</v>
      </c>
      <c r="D94" s="15" t="s">
        <v>142</v>
      </c>
      <c r="E94" s="15" t="s">
        <v>143</v>
      </c>
      <c r="F94" s="8">
        <v>4.3343779690000002</v>
      </c>
      <c r="G94" s="24"/>
      <c r="H94" s="24"/>
      <c r="I94" s="8">
        <v>28.02336043</v>
      </c>
      <c r="J94" s="7">
        <v>250</v>
      </c>
      <c r="K94" s="7">
        <v>27.88</v>
      </c>
      <c r="L94" s="9">
        <v>246</v>
      </c>
      <c r="M94" s="24"/>
      <c r="N94" s="17"/>
      <c r="O94" s="17"/>
      <c r="P94" s="17"/>
      <c r="Q94" s="9">
        <v>9</v>
      </c>
      <c r="R94" s="7">
        <v>9</v>
      </c>
      <c r="S94" s="39">
        <v>0</v>
      </c>
    </row>
    <row r="95" spans="1:19" ht="15" x14ac:dyDescent="0.25">
      <c r="A95" s="14">
        <v>94</v>
      </c>
      <c r="B95" s="14">
        <v>1619910</v>
      </c>
      <c r="C95" s="15" t="s">
        <v>146</v>
      </c>
      <c r="D95" s="15" t="s">
        <v>147</v>
      </c>
      <c r="E95" s="15" t="s">
        <v>143</v>
      </c>
      <c r="F95" s="8">
        <v>7.8849118359999997</v>
      </c>
      <c r="G95" s="8">
        <v>8.6707061519999993</v>
      </c>
      <c r="H95" s="8">
        <v>-0.78579431600000005</v>
      </c>
      <c r="I95" s="8">
        <v>27.756237850000002</v>
      </c>
      <c r="J95" s="7">
        <v>250</v>
      </c>
      <c r="K95" s="7">
        <v>27.64</v>
      </c>
      <c r="L95" s="9">
        <v>242</v>
      </c>
      <c r="M95" s="8">
        <v>27.02</v>
      </c>
      <c r="N95" s="7">
        <v>246</v>
      </c>
      <c r="O95" s="7">
        <v>4</v>
      </c>
      <c r="P95" s="7">
        <v>0</v>
      </c>
      <c r="Q95" s="9">
        <v>8</v>
      </c>
      <c r="R95" s="7">
        <v>9</v>
      </c>
      <c r="S95" s="39">
        <v>0</v>
      </c>
    </row>
    <row r="96" spans="1:19" ht="15" x14ac:dyDescent="0.25">
      <c r="A96" s="14">
        <v>95</v>
      </c>
      <c r="B96" s="14">
        <v>1890000</v>
      </c>
      <c r="C96" s="15" t="s">
        <v>148</v>
      </c>
      <c r="D96" s="15" t="s">
        <v>149</v>
      </c>
      <c r="E96" s="15" t="s">
        <v>143</v>
      </c>
      <c r="F96" s="8">
        <v>3.948241881</v>
      </c>
      <c r="G96" s="8">
        <v>4.1835150810000004</v>
      </c>
      <c r="H96" s="8">
        <v>-0.23527319999999999</v>
      </c>
      <c r="I96" s="8">
        <v>29.953176689999999</v>
      </c>
      <c r="J96" s="7">
        <v>235</v>
      </c>
      <c r="K96" s="7">
        <v>29.79</v>
      </c>
      <c r="L96" s="9">
        <v>238</v>
      </c>
      <c r="M96" s="8">
        <v>28.714447459999999</v>
      </c>
      <c r="N96" s="7">
        <v>251</v>
      </c>
      <c r="O96" s="7">
        <v>-16</v>
      </c>
      <c r="P96" s="7">
        <v>-11</v>
      </c>
      <c r="Q96" s="9">
        <v>8</v>
      </c>
      <c r="R96" s="7">
        <v>9</v>
      </c>
      <c r="S96" s="39">
        <v>-1</v>
      </c>
    </row>
    <row r="97" spans="19:19" ht="15.75" customHeight="1" x14ac:dyDescent="0.2">
      <c r="S97" s="39">
        <v>-1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0"/>
  <sheetViews>
    <sheetView workbookViewId="0"/>
  </sheetViews>
  <sheetFormatPr defaultColWidth="12.5703125" defaultRowHeight="15.75" customHeight="1" x14ac:dyDescent="0.2"/>
  <sheetData>
    <row r="1" spans="1:2" ht="15.75" customHeight="1" x14ac:dyDescent="0.25">
      <c r="A1" s="18" t="s">
        <v>150</v>
      </c>
      <c r="B1" s="26" t="s">
        <v>151</v>
      </c>
    </row>
    <row r="2" spans="1:2" ht="15.75" customHeight="1" x14ac:dyDescent="0.25">
      <c r="A2" s="19" t="s">
        <v>0</v>
      </c>
      <c r="B2" s="17" t="s">
        <v>152</v>
      </c>
    </row>
    <row r="3" spans="1:2" ht="15.75" customHeight="1" x14ac:dyDescent="0.25">
      <c r="A3" s="19" t="s">
        <v>1</v>
      </c>
      <c r="B3" s="17" t="s">
        <v>153</v>
      </c>
    </row>
    <row r="4" spans="1:2" ht="15.75" customHeight="1" x14ac:dyDescent="0.25">
      <c r="A4" s="19" t="s">
        <v>2</v>
      </c>
      <c r="B4" s="17" t="s">
        <v>154</v>
      </c>
    </row>
    <row r="5" spans="1:2" ht="15.75" customHeight="1" x14ac:dyDescent="0.25">
      <c r="A5" s="19" t="s">
        <v>3</v>
      </c>
      <c r="B5" s="17" t="s">
        <v>155</v>
      </c>
    </row>
    <row r="6" spans="1:2" ht="15.75" customHeight="1" x14ac:dyDescent="0.25">
      <c r="A6" s="19" t="s">
        <v>8</v>
      </c>
      <c r="B6" s="17" t="s">
        <v>160</v>
      </c>
    </row>
    <row r="7" spans="1:2" ht="15.75" customHeight="1" x14ac:dyDescent="0.25">
      <c r="A7" s="19" t="s">
        <v>184</v>
      </c>
      <c r="B7" s="17" t="s">
        <v>197</v>
      </c>
    </row>
    <row r="8" spans="1:2" ht="15.75" customHeight="1" x14ac:dyDescent="0.25">
      <c r="A8" s="19" t="s">
        <v>185</v>
      </c>
      <c r="B8" s="17" t="s">
        <v>198</v>
      </c>
    </row>
    <row r="9" spans="1:2" ht="15.75" customHeight="1" x14ac:dyDescent="0.25">
      <c r="A9" s="19" t="s">
        <v>186</v>
      </c>
      <c r="B9" s="17" t="s">
        <v>199</v>
      </c>
    </row>
    <row r="10" spans="1:2" ht="15.75" customHeight="1" x14ac:dyDescent="0.25">
      <c r="A10" s="19" t="s">
        <v>187</v>
      </c>
      <c r="B10" s="17" t="s">
        <v>200</v>
      </c>
    </row>
    <row r="11" spans="1:2" ht="15.75" customHeight="1" x14ac:dyDescent="0.25">
      <c r="A11" s="19" t="s">
        <v>188</v>
      </c>
      <c r="B11" s="17" t="s">
        <v>201</v>
      </c>
    </row>
    <row r="12" spans="1:2" ht="15.75" customHeight="1" x14ac:dyDescent="0.25">
      <c r="A12" s="19" t="s">
        <v>189</v>
      </c>
      <c r="B12" s="17" t="s">
        <v>202</v>
      </c>
    </row>
    <row r="13" spans="1:2" ht="15.75" customHeight="1" x14ac:dyDescent="0.25">
      <c r="A13" s="21" t="s">
        <v>190</v>
      </c>
      <c r="B13" s="17" t="s">
        <v>203</v>
      </c>
    </row>
    <row r="14" spans="1:2" ht="15.75" customHeight="1" x14ac:dyDescent="0.25">
      <c r="A14" s="19" t="s">
        <v>191</v>
      </c>
      <c r="B14" s="17" t="s">
        <v>204</v>
      </c>
    </row>
    <row r="15" spans="1:2" ht="15.75" customHeight="1" x14ac:dyDescent="0.25">
      <c r="A15" s="19" t="s">
        <v>192</v>
      </c>
      <c r="B15" s="17" t="s">
        <v>205</v>
      </c>
    </row>
    <row r="16" spans="1:2" ht="15.75" customHeight="1" x14ac:dyDescent="0.25">
      <c r="A16" s="19" t="s">
        <v>193</v>
      </c>
      <c r="B16" s="17" t="s">
        <v>206</v>
      </c>
    </row>
    <row r="17" spans="1:2" ht="15.75" customHeight="1" x14ac:dyDescent="0.25">
      <c r="A17" s="19" t="s">
        <v>194</v>
      </c>
      <c r="B17" s="17" t="s">
        <v>207</v>
      </c>
    </row>
    <row r="18" spans="1:2" ht="15.75" customHeight="1" x14ac:dyDescent="0.25">
      <c r="A18" s="21" t="s">
        <v>195</v>
      </c>
      <c r="B18" s="17" t="s">
        <v>208</v>
      </c>
    </row>
    <row r="19" spans="1:2" ht="15.75" customHeight="1" x14ac:dyDescent="0.25">
      <c r="A19" s="19" t="s">
        <v>196</v>
      </c>
      <c r="B19" s="17" t="s">
        <v>209</v>
      </c>
    </row>
    <row r="20" spans="1:2" ht="15.75" customHeight="1" x14ac:dyDescent="0.25">
      <c r="A20" s="19" t="s">
        <v>210</v>
      </c>
      <c r="B20" s="17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6"/>
  <sheetViews>
    <sheetView workbookViewId="0"/>
  </sheetViews>
  <sheetFormatPr defaultColWidth="12.5703125" defaultRowHeight="15.75" customHeight="1" x14ac:dyDescent="0.2"/>
  <sheetData>
    <row r="1" spans="1:19" ht="15.7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8</v>
      </c>
      <c r="F1" s="27" t="s">
        <v>212</v>
      </c>
      <c r="G1" s="27" t="s">
        <v>213</v>
      </c>
      <c r="H1" s="27" t="s">
        <v>214</v>
      </c>
      <c r="I1" s="27" t="s">
        <v>215</v>
      </c>
      <c r="J1" s="27" t="s">
        <v>216</v>
      </c>
      <c r="K1" s="27" t="s">
        <v>217</v>
      </c>
      <c r="L1" s="27" t="s">
        <v>218</v>
      </c>
      <c r="M1" s="27" t="s">
        <v>219</v>
      </c>
      <c r="N1" s="27" t="s">
        <v>220</v>
      </c>
      <c r="O1" s="27" t="s">
        <v>221</v>
      </c>
      <c r="P1" s="27" t="s">
        <v>222</v>
      </c>
      <c r="Q1" s="27" t="s">
        <v>223</v>
      </c>
      <c r="R1" s="27" t="s">
        <v>224</v>
      </c>
      <c r="S1" s="27" t="s">
        <v>225</v>
      </c>
    </row>
    <row r="2" spans="1:19" ht="15.75" customHeight="1" x14ac:dyDescent="0.25">
      <c r="A2" s="4">
        <v>1</v>
      </c>
      <c r="B2" s="4">
        <v>8410140</v>
      </c>
      <c r="C2" s="5" t="s">
        <v>18</v>
      </c>
      <c r="D2" s="5" t="s">
        <v>19</v>
      </c>
      <c r="E2" s="5" t="s">
        <v>20</v>
      </c>
      <c r="F2" s="28">
        <v>5.0972000000000003E-2</v>
      </c>
      <c r="G2" s="28">
        <v>6.8599999999999998E-4</v>
      </c>
      <c r="H2" s="28">
        <v>1.5013E-2</v>
      </c>
      <c r="I2" s="28">
        <v>2.9425E-2</v>
      </c>
      <c r="J2" s="28">
        <v>4.4188099999999997</v>
      </c>
      <c r="K2" s="28">
        <v>5.7679999999999997E-3</v>
      </c>
      <c r="L2" s="28">
        <v>0.70613999999999999</v>
      </c>
      <c r="M2" s="28">
        <v>1.5101E-2</v>
      </c>
      <c r="N2" s="28">
        <v>4.6122000000000003E-2</v>
      </c>
      <c r="O2" s="28">
        <v>2.4091999999999999E-2</v>
      </c>
      <c r="P2" s="28">
        <v>1.9037999999999999E-2</v>
      </c>
      <c r="Q2" s="28">
        <v>5.1891E-2</v>
      </c>
      <c r="R2" s="28">
        <v>2.5285999999999999E-2</v>
      </c>
      <c r="S2" s="28">
        <v>2.1618999999999999E-2</v>
      </c>
    </row>
    <row r="3" spans="1:19" ht="15.75" customHeight="1" x14ac:dyDescent="0.25">
      <c r="A3" s="4">
        <v>2</v>
      </c>
      <c r="B3" s="4">
        <v>8413320</v>
      </c>
      <c r="C3" s="5" t="s">
        <v>21</v>
      </c>
      <c r="D3" s="5" t="s">
        <v>19</v>
      </c>
      <c r="E3" s="5" t="s">
        <v>20</v>
      </c>
      <c r="F3" s="28">
        <v>4.5246000000000001E-2</v>
      </c>
      <c r="G3" s="28">
        <v>1.6184E-2</v>
      </c>
      <c r="H3" s="28">
        <v>1.8814999999999998E-2</v>
      </c>
      <c r="I3" s="28">
        <v>3.6878000000000001E-2</v>
      </c>
      <c r="J3" s="28">
        <v>3.8043619999999998</v>
      </c>
      <c r="K3" s="28">
        <v>5.0506000000000002E-2</v>
      </c>
      <c r="L3" s="28">
        <v>9.0291999999999997E-2</v>
      </c>
      <c r="M3" s="28">
        <v>2.8216000000000001E-2</v>
      </c>
      <c r="N3" s="28">
        <v>1.6504999999999999E-2</v>
      </c>
      <c r="O3" s="28">
        <v>0.64047200000000004</v>
      </c>
      <c r="P3" s="28">
        <v>3.4743999999999997E-2</v>
      </c>
      <c r="Q3" s="28">
        <v>6.701E-2</v>
      </c>
      <c r="R3" s="28">
        <v>0.129164</v>
      </c>
      <c r="S3" s="28">
        <v>4.2134999999999999E-2</v>
      </c>
    </row>
    <row r="4" spans="1:19" ht="15.75" customHeight="1" x14ac:dyDescent="0.25">
      <c r="A4" s="4">
        <v>3</v>
      </c>
      <c r="B4" s="4">
        <v>8418150</v>
      </c>
      <c r="C4" s="5" t="s">
        <v>22</v>
      </c>
      <c r="D4" s="5" t="s">
        <v>19</v>
      </c>
      <c r="E4" s="5" t="s">
        <v>20</v>
      </c>
      <c r="F4" s="28">
        <v>5.9955000000000001E-2</v>
      </c>
      <c r="G4" s="28">
        <v>3.8399999999999998E-5</v>
      </c>
      <c r="H4" s="28">
        <v>1.4563E-2</v>
      </c>
      <c r="I4" s="28">
        <v>2.8544E-2</v>
      </c>
      <c r="J4" s="28">
        <v>3.6193909999999998</v>
      </c>
      <c r="K4" s="28">
        <v>6.5656000000000006E-2</v>
      </c>
      <c r="L4" s="28">
        <v>8.5153000000000006E-2</v>
      </c>
      <c r="M4" s="28">
        <v>3.6150000000000002E-2</v>
      </c>
      <c r="N4" s="28">
        <v>4.8646000000000002E-2</v>
      </c>
      <c r="O4" s="28">
        <v>0.23621300000000001</v>
      </c>
      <c r="P4" s="28">
        <v>3.977E-2</v>
      </c>
      <c r="Q4" s="28">
        <v>0.114302</v>
      </c>
      <c r="R4" s="28">
        <v>8.2799999999999996E-4</v>
      </c>
      <c r="S4" s="28">
        <v>2.8819999999999998E-2</v>
      </c>
    </row>
    <row r="5" spans="1:19" ht="15.75" customHeight="1" x14ac:dyDescent="0.25">
      <c r="A5" s="4">
        <v>4</v>
      </c>
      <c r="B5" s="4">
        <v>8449130</v>
      </c>
      <c r="C5" s="5" t="s">
        <v>23</v>
      </c>
      <c r="D5" s="5" t="s">
        <v>24</v>
      </c>
      <c r="E5" s="5" t="s">
        <v>20</v>
      </c>
      <c r="F5" s="28">
        <v>2.1172E-2</v>
      </c>
      <c r="G5" s="28">
        <v>0.248755</v>
      </c>
      <c r="H5" s="28">
        <v>1.8356000000000001E-2</v>
      </c>
      <c r="I5" s="28">
        <v>3.5978000000000003E-2</v>
      </c>
      <c r="J5" s="28">
        <v>5.6877269999999998</v>
      </c>
      <c r="K5" s="28">
        <v>1.6648E-2</v>
      </c>
      <c r="L5" s="28">
        <v>0.64507300000000001</v>
      </c>
      <c r="M5" s="28">
        <v>3.5535999999999998E-2</v>
      </c>
      <c r="N5" s="28">
        <v>-2.16E-3</v>
      </c>
      <c r="O5" s="28">
        <v>0.95188200000000001</v>
      </c>
      <c r="P5" s="28">
        <v>3.5271999999999998E-2</v>
      </c>
      <c r="Q5" s="28">
        <v>1.4489E-2</v>
      </c>
      <c r="R5" s="28">
        <v>0.685751</v>
      </c>
      <c r="S5" s="28">
        <v>3.5233E-2</v>
      </c>
    </row>
    <row r="6" spans="1:19" ht="15.75" customHeight="1" x14ac:dyDescent="0.25">
      <c r="A6" s="4">
        <v>5</v>
      </c>
      <c r="B6" s="4">
        <v>8447930</v>
      </c>
      <c r="C6" s="5" t="s">
        <v>25</v>
      </c>
      <c r="D6" s="5" t="s">
        <v>24</v>
      </c>
      <c r="E6" s="5" t="s">
        <v>20</v>
      </c>
      <c r="F6" s="28">
        <v>5.0285000000000003E-2</v>
      </c>
      <c r="G6" s="28">
        <v>5.0299999999999997E-4</v>
      </c>
      <c r="H6" s="28">
        <v>1.4454E-2</v>
      </c>
      <c r="I6" s="28">
        <v>2.8329E-2</v>
      </c>
      <c r="J6" s="28">
        <v>5.522888</v>
      </c>
      <c r="K6" s="28">
        <v>5.4425000000000001E-2</v>
      </c>
      <c r="L6" s="28">
        <v>0.101949</v>
      </c>
      <c r="M6" s="28">
        <v>3.2003999999999998E-2</v>
      </c>
      <c r="N6" s="28">
        <v>2.6379E-2</v>
      </c>
      <c r="O6" s="28">
        <v>0.43274400000000002</v>
      </c>
      <c r="P6" s="28">
        <v>3.3059999999999999E-2</v>
      </c>
      <c r="Q6" s="28">
        <v>8.0804000000000001E-2</v>
      </c>
      <c r="R6" s="28">
        <v>8.0199999999999994E-6</v>
      </c>
      <c r="S6" s="28">
        <v>1.4291E-2</v>
      </c>
    </row>
    <row r="7" spans="1:19" ht="15.75" customHeight="1" x14ac:dyDescent="0.25">
      <c r="A7" s="4">
        <v>6</v>
      </c>
      <c r="B7" s="4">
        <v>8454000</v>
      </c>
      <c r="C7" s="5" t="s">
        <v>26</v>
      </c>
      <c r="D7" s="5" t="s">
        <v>27</v>
      </c>
      <c r="E7" s="5" t="s">
        <v>20</v>
      </c>
      <c r="F7" s="28">
        <v>-2.2530000000000001E-2</v>
      </c>
      <c r="G7" s="28">
        <v>0.108628</v>
      </c>
      <c r="H7" s="28">
        <v>1.4043E-2</v>
      </c>
      <c r="I7" s="28">
        <v>2.7525000000000001E-2</v>
      </c>
      <c r="J7" s="28">
        <v>4.4145630000000002</v>
      </c>
      <c r="K7" s="28">
        <v>-3.9010000000000003E-2</v>
      </c>
      <c r="L7" s="28">
        <v>0.26429399999999997</v>
      </c>
      <c r="M7" s="28">
        <v>3.4130000000000001E-2</v>
      </c>
      <c r="N7" s="28">
        <v>1.5879999999999998E-2</v>
      </c>
      <c r="O7" s="28">
        <v>0.60170199999999996</v>
      </c>
      <c r="P7" s="28">
        <v>3.0022E-2</v>
      </c>
      <c r="Q7" s="28">
        <v>-2.3130000000000001E-2</v>
      </c>
      <c r="R7" s="28">
        <v>0.329293</v>
      </c>
      <c r="S7" s="28">
        <v>2.3230000000000001E-2</v>
      </c>
    </row>
    <row r="8" spans="1:19" ht="15.75" customHeight="1" x14ac:dyDescent="0.25">
      <c r="A8" s="4">
        <v>7</v>
      </c>
      <c r="B8" s="4">
        <v>8452944</v>
      </c>
      <c r="C8" s="5" t="s">
        <v>28</v>
      </c>
      <c r="D8" s="5" t="s">
        <v>27</v>
      </c>
      <c r="E8" s="5" t="s">
        <v>20</v>
      </c>
      <c r="F8" s="28">
        <v>5.3152999999999999E-2</v>
      </c>
      <c r="G8" s="28">
        <v>3.6011000000000001E-2</v>
      </c>
      <c r="H8" s="28">
        <v>2.5349E-2</v>
      </c>
      <c r="I8" s="28">
        <v>4.9685E-2</v>
      </c>
      <c r="J8" s="28">
        <v>5.3980160000000001</v>
      </c>
      <c r="K8" s="28">
        <v>-6.96E-3</v>
      </c>
      <c r="L8" s="28">
        <v>0.88581299999999996</v>
      </c>
      <c r="M8" s="28">
        <v>4.7867E-2</v>
      </c>
      <c r="N8" s="28">
        <v>6.6102999999999995E-2</v>
      </c>
      <c r="O8" s="28">
        <v>0.221582</v>
      </c>
      <c r="P8" s="28">
        <v>5.2393000000000002E-2</v>
      </c>
      <c r="Q8" s="28">
        <v>5.9140999999999999E-2</v>
      </c>
      <c r="R8" s="28">
        <v>8.924E-2</v>
      </c>
      <c r="S8" s="28">
        <v>3.3110000000000001E-2</v>
      </c>
    </row>
    <row r="9" spans="1:19" ht="15.75" customHeight="1" x14ac:dyDescent="0.25">
      <c r="A9" s="4">
        <v>8</v>
      </c>
      <c r="B9" s="4">
        <v>8447386</v>
      </c>
      <c r="C9" s="5" t="s">
        <v>29</v>
      </c>
      <c r="D9" s="5" t="s">
        <v>24</v>
      </c>
      <c r="E9" s="5" t="s">
        <v>20</v>
      </c>
      <c r="F9" s="28">
        <v>9.9396999999999999E-2</v>
      </c>
      <c r="G9" s="28">
        <v>1.8400000000000001E-7</v>
      </c>
      <c r="H9" s="28">
        <v>1.9060000000000001E-2</v>
      </c>
      <c r="I9" s="28">
        <v>3.7358000000000002E-2</v>
      </c>
      <c r="J9" s="28">
        <v>6.5965400000000001</v>
      </c>
      <c r="K9" s="28">
        <v>-6.4089999999999994E-2</v>
      </c>
      <c r="L9" s="28">
        <v>0.27054800000000001</v>
      </c>
      <c r="M9" s="28">
        <v>5.6701000000000001E-2</v>
      </c>
      <c r="N9" s="28">
        <v>8.4015000000000006E-2</v>
      </c>
      <c r="O9" s="28">
        <v>0.104328</v>
      </c>
      <c r="P9" s="28">
        <v>4.9588E-2</v>
      </c>
      <c r="Q9" s="28">
        <v>1.993E-2</v>
      </c>
      <c r="R9" s="28">
        <v>0.72252799999999995</v>
      </c>
      <c r="S9" s="28">
        <v>5.5412000000000003E-2</v>
      </c>
    </row>
    <row r="10" spans="1:19" ht="15.75" customHeight="1" x14ac:dyDescent="0.25">
      <c r="A10" s="4">
        <v>9</v>
      </c>
      <c r="B10" s="4">
        <v>8454049</v>
      </c>
      <c r="C10" s="5" t="s">
        <v>30</v>
      </c>
      <c r="D10" s="5" t="s">
        <v>27</v>
      </c>
      <c r="E10" s="5" t="s">
        <v>20</v>
      </c>
      <c r="F10" s="28">
        <v>6.0888999999999999E-2</v>
      </c>
      <c r="G10" s="28">
        <v>1.11E-4</v>
      </c>
      <c r="H10" s="28">
        <v>1.5755000000000002E-2</v>
      </c>
      <c r="I10" s="28">
        <v>3.0879E-2</v>
      </c>
      <c r="J10" s="28">
        <v>4.8761270000000003</v>
      </c>
      <c r="K10" s="28">
        <v>2.4343E-2</v>
      </c>
      <c r="L10" s="28">
        <v>0.66647900000000004</v>
      </c>
      <c r="M10" s="28">
        <v>5.5556000000000001E-2</v>
      </c>
      <c r="N10" s="28">
        <v>4.1333000000000002E-2</v>
      </c>
      <c r="O10" s="28">
        <v>0.39949400000000002</v>
      </c>
      <c r="P10" s="28">
        <v>4.7895E-2</v>
      </c>
      <c r="Q10" s="28">
        <v>6.5675999999999998E-2</v>
      </c>
      <c r="R10" s="28">
        <v>4.8217000000000003E-2</v>
      </c>
      <c r="S10" s="28">
        <v>3.0988000000000002E-2</v>
      </c>
    </row>
    <row r="11" spans="1:19" ht="15.75" customHeight="1" x14ac:dyDescent="0.25">
      <c r="A11" s="4">
        <v>10</v>
      </c>
      <c r="B11" s="4">
        <v>8452660</v>
      </c>
      <c r="C11" s="5" t="s">
        <v>31</v>
      </c>
      <c r="D11" s="5" t="s">
        <v>27</v>
      </c>
      <c r="E11" s="5" t="s">
        <v>20</v>
      </c>
      <c r="F11" s="28">
        <v>5.1865000000000001E-2</v>
      </c>
      <c r="G11" s="28">
        <v>4.2299999999999998E-4</v>
      </c>
      <c r="H11" s="28">
        <v>1.4711999999999999E-2</v>
      </c>
      <c r="I11" s="28">
        <v>2.8835E-2</v>
      </c>
      <c r="J11" s="28">
        <v>4.6383749999999999</v>
      </c>
      <c r="K11" s="28">
        <v>5.6169999999999998E-2</v>
      </c>
      <c r="L11" s="28">
        <v>7.7693999999999999E-2</v>
      </c>
      <c r="M11" s="28">
        <v>3.0415999999999999E-2</v>
      </c>
      <c r="N11" s="28">
        <v>1.0491E-2</v>
      </c>
      <c r="O11" s="28">
        <v>0.73818600000000001</v>
      </c>
      <c r="P11" s="28">
        <v>3.1009999999999999E-2</v>
      </c>
      <c r="Q11" s="28">
        <v>6.6660999999999998E-2</v>
      </c>
      <c r="R11" s="28">
        <v>1.6642000000000001E-2</v>
      </c>
      <c r="S11" s="28">
        <v>2.5811000000000001E-2</v>
      </c>
    </row>
    <row r="12" spans="1:19" ht="15.75" customHeight="1" x14ac:dyDescent="0.25">
      <c r="A12" s="4">
        <v>11</v>
      </c>
      <c r="B12" s="4">
        <v>8461490</v>
      </c>
      <c r="C12" s="5" t="s">
        <v>32</v>
      </c>
      <c r="D12" s="5" t="s">
        <v>33</v>
      </c>
      <c r="E12" s="5" t="s">
        <v>20</v>
      </c>
      <c r="F12" s="28">
        <v>2.111E-2</v>
      </c>
      <c r="G12" s="28">
        <v>0.20983199999999999</v>
      </c>
      <c r="H12" s="28">
        <v>1.6833999999999998E-2</v>
      </c>
      <c r="I12" s="28">
        <v>3.2994000000000002E-2</v>
      </c>
      <c r="J12" s="28">
        <v>4.9240750000000002</v>
      </c>
      <c r="K12" s="28">
        <v>-3.7449999999999997E-2</v>
      </c>
      <c r="L12" s="28">
        <v>0.36600700000000003</v>
      </c>
      <c r="M12" s="28">
        <v>4.0482999999999998E-2</v>
      </c>
      <c r="N12" s="28">
        <v>4.9350999999999999E-2</v>
      </c>
      <c r="O12" s="28">
        <v>0.17966299999999999</v>
      </c>
      <c r="P12" s="28">
        <v>3.5492000000000003E-2</v>
      </c>
      <c r="Q12" s="28">
        <v>1.1905000000000001E-2</v>
      </c>
      <c r="R12" s="28">
        <v>0.66612199999999999</v>
      </c>
      <c r="S12" s="28">
        <v>2.7185000000000001E-2</v>
      </c>
    </row>
    <row r="13" spans="1:19" ht="15.75" customHeight="1" x14ac:dyDescent="0.25">
      <c r="A13" s="4">
        <v>12</v>
      </c>
      <c r="B13" s="4">
        <v>8465705</v>
      </c>
      <c r="C13" s="5" t="s">
        <v>34</v>
      </c>
      <c r="D13" s="5" t="s">
        <v>33</v>
      </c>
      <c r="E13" s="5" t="s">
        <v>20</v>
      </c>
      <c r="F13" s="28">
        <v>2.3427E-2</v>
      </c>
      <c r="G13" s="28">
        <v>0.20856</v>
      </c>
      <c r="H13" s="28">
        <v>1.8630000000000001E-2</v>
      </c>
      <c r="I13" s="28">
        <v>3.6513999999999998E-2</v>
      </c>
      <c r="J13" s="28">
        <v>5.3400400000000001</v>
      </c>
      <c r="K13" s="28">
        <v>4.7814000000000002E-2</v>
      </c>
      <c r="L13" s="28">
        <v>0.32196200000000003</v>
      </c>
      <c r="M13" s="28">
        <v>4.7017999999999997E-2</v>
      </c>
      <c r="N13" s="28">
        <v>2.6384000000000001E-2</v>
      </c>
      <c r="O13" s="28">
        <v>0.600387</v>
      </c>
      <c r="P13" s="28">
        <v>4.9525E-2</v>
      </c>
      <c r="Q13" s="28">
        <v>7.4198E-2</v>
      </c>
      <c r="R13" s="28">
        <v>9.7442000000000001E-2</v>
      </c>
      <c r="S13" s="28">
        <v>4.2562000000000003E-2</v>
      </c>
    </row>
    <row r="14" spans="1:19" ht="15.75" customHeight="1" x14ac:dyDescent="0.25">
      <c r="A14" s="4">
        <v>13</v>
      </c>
      <c r="B14" s="4">
        <v>8516945</v>
      </c>
      <c r="C14" s="5" t="s">
        <v>35</v>
      </c>
      <c r="D14" s="5" t="s">
        <v>36</v>
      </c>
      <c r="E14" s="5" t="s">
        <v>20</v>
      </c>
      <c r="F14" s="28">
        <v>8.8749999999999992E-3</v>
      </c>
      <c r="G14" s="28">
        <v>0.74055800000000005</v>
      </c>
      <c r="H14" s="28">
        <v>2.6804000000000001E-2</v>
      </c>
      <c r="I14" s="28">
        <v>5.2537E-2</v>
      </c>
      <c r="J14" s="28">
        <v>4.6486280000000004</v>
      </c>
      <c r="K14" s="28">
        <v>5.7962E-2</v>
      </c>
      <c r="L14" s="28">
        <v>0.42465199999999997</v>
      </c>
      <c r="M14" s="28">
        <v>7.1038000000000004E-2</v>
      </c>
      <c r="N14" s="28">
        <v>-2.171E-2</v>
      </c>
      <c r="O14" s="28">
        <v>0.76302999999999999</v>
      </c>
      <c r="P14" s="28">
        <v>7.0963999999999999E-2</v>
      </c>
      <c r="Q14" s="28">
        <v>3.6255999999999997E-2</v>
      </c>
      <c r="R14" s="28">
        <v>9.8789000000000002E-2</v>
      </c>
      <c r="S14" s="28">
        <v>2.0886999999999999E-2</v>
      </c>
    </row>
    <row r="15" spans="1:19" ht="15.75" customHeight="1" x14ac:dyDescent="0.25">
      <c r="A15" s="4">
        <v>14</v>
      </c>
      <c r="B15" s="4">
        <v>8519483</v>
      </c>
      <c r="C15" s="5" t="s">
        <v>37</v>
      </c>
      <c r="D15" s="5" t="s">
        <v>36</v>
      </c>
      <c r="E15" s="5" t="s">
        <v>20</v>
      </c>
      <c r="F15" s="28">
        <v>3.8630999999999999E-2</v>
      </c>
      <c r="G15" s="28">
        <v>1.9000000000000001E-4</v>
      </c>
      <c r="H15" s="28">
        <v>1.0352E-2</v>
      </c>
      <c r="I15" s="28">
        <v>2.0289000000000001E-2</v>
      </c>
      <c r="J15" s="28">
        <v>4.9810160000000003</v>
      </c>
      <c r="K15" s="28">
        <v>-5.8889999999999998E-2</v>
      </c>
      <c r="L15" s="28">
        <v>9.2907000000000003E-2</v>
      </c>
      <c r="M15" s="28">
        <v>3.3758000000000003E-2</v>
      </c>
      <c r="N15" s="28">
        <v>7.5371999999999995E-2</v>
      </c>
      <c r="O15" s="28">
        <v>3.5355999999999999E-2</v>
      </c>
      <c r="P15" s="28">
        <v>3.3952999999999997E-2</v>
      </c>
      <c r="Q15" s="28">
        <v>1.6486000000000001E-2</v>
      </c>
      <c r="R15" s="28">
        <v>0.27161099999999999</v>
      </c>
      <c r="S15" s="28">
        <v>1.4677000000000001E-2</v>
      </c>
    </row>
    <row r="16" spans="1:19" ht="15.75" customHeight="1" x14ac:dyDescent="0.25">
      <c r="A16" s="4">
        <v>15</v>
      </c>
      <c r="B16" s="4">
        <v>8531680</v>
      </c>
      <c r="C16" s="5" t="s">
        <v>38</v>
      </c>
      <c r="D16" s="5" t="s">
        <v>39</v>
      </c>
      <c r="E16" s="5" t="s">
        <v>20</v>
      </c>
      <c r="F16" s="28">
        <v>4.7416E-2</v>
      </c>
      <c r="G16" s="28">
        <v>1.6079E-2</v>
      </c>
      <c r="H16" s="28">
        <v>1.9698E-2</v>
      </c>
      <c r="I16" s="28">
        <v>3.8608999999999997E-2</v>
      </c>
      <c r="J16" s="28">
        <v>5.7457710000000004</v>
      </c>
      <c r="K16" s="28">
        <v>1.8211000000000001E-2</v>
      </c>
      <c r="L16" s="28">
        <v>0.70527200000000001</v>
      </c>
      <c r="M16" s="28">
        <v>4.7428999999999999E-2</v>
      </c>
      <c r="N16" s="28">
        <v>5.6259999999999999E-3</v>
      </c>
      <c r="O16" s="28">
        <v>0.90567200000000003</v>
      </c>
      <c r="P16" s="28">
        <v>4.6850999999999997E-2</v>
      </c>
      <c r="Q16" s="28">
        <v>2.3837000000000001E-2</v>
      </c>
      <c r="R16" s="28">
        <v>0.55434499999999998</v>
      </c>
      <c r="S16" s="28">
        <v>3.9601999999999998E-2</v>
      </c>
    </row>
    <row r="17" spans="1:19" ht="15.75" customHeight="1" x14ac:dyDescent="0.25">
      <c r="A17" s="4">
        <v>16</v>
      </c>
      <c r="B17" s="4">
        <v>8534720</v>
      </c>
      <c r="C17" s="5" t="s">
        <v>40</v>
      </c>
      <c r="D17" s="5" t="s">
        <v>39</v>
      </c>
      <c r="E17" s="5" t="s">
        <v>20</v>
      </c>
      <c r="F17" s="28">
        <v>4.9392999999999999E-2</v>
      </c>
      <c r="G17" s="28">
        <v>4.73E-4</v>
      </c>
      <c r="H17" s="28">
        <v>1.4128999999999999E-2</v>
      </c>
      <c r="I17" s="28">
        <v>2.7692999999999999E-2</v>
      </c>
      <c r="J17" s="28">
        <v>5.4000190000000003</v>
      </c>
      <c r="K17" s="28">
        <v>3.4049999999999997E-2</v>
      </c>
      <c r="L17" s="28">
        <v>0.55031099999999999</v>
      </c>
      <c r="M17" s="28">
        <v>5.6203999999999997E-2</v>
      </c>
      <c r="N17" s="28">
        <v>4.1374000000000001E-2</v>
      </c>
      <c r="O17" s="28">
        <v>0.321548</v>
      </c>
      <c r="P17" s="28">
        <v>4.0876000000000003E-2</v>
      </c>
      <c r="Q17" s="28">
        <v>7.5424000000000005E-2</v>
      </c>
      <c r="R17" s="28">
        <v>2.1021999999999999E-2</v>
      </c>
      <c r="S17" s="28">
        <v>3.0540000000000001E-2</v>
      </c>
    </row>
    <row r="18" spans="1:19" ht="15.75" customHeight="1" x14ac:dyDescent="0.25">
      <c r="A18" s="4">
        <v>17</v>
      </c>
      <c r="B18" s="4">
        <v>8548989</v>
      </c>
      <c r="C18" s="5" t="s">
        <v>41</v>
      </c>
      <c r="D18" s="5" t="s">
        <v>42</v>
      </c>
      <c r="E18" s="5" t="s">
        <v>20</v>
      </c>
      <c r="F18" s="28">
        <v>-1.1339999999999999E-2</v>
      </c>
      <c r="G18" s="28">
        <v>0.61746199999999996</v>
      </c>
      <c r="H18" s="28">
        <v>2.2703999999999998E-2</v>
      </c>
      <c r="I18" s="28">
        <v>4.4499999999999998E-2</v>
      </c>
      <c r="J18" s="28">
        <v>4.8661839999999996</v>
      </c>
      <c r="K18" s="28">
        <v>-4.3290000000000002E-2</v>
      </c>
      <c r="L18" s="28">
        <v>0.36018600000000001</v>
      </c>
      <c r="M18" s="28">
        <v>4.6164999999999998E-2</v>
      </c>
      <c r="N18" s="28">
        <v>-9.4400000000000005E-3</v>
      </c>
      <c r="O18" s="28">
        <v>0.579349</v>
      </c>
      <c r="P18" s="28">
        <v>1.6730999999999999E-2</v>
      </c>
      <c r="Q18" s="28">
        <v>-5.2720000000000003E-2</v>
      </c>
      <c r="R18" s="28">
        <v>0.28751500000000002</v>
      </c>
      <c r="S18" s="28">
        <v>4.8182000000000003E-2</v>
      </c>
    </row>
    <row r="19" spans="1:19" ht="15.75" customHeight="1" x14ac:dyDescent="0.25">
      <c r="A19" s="4">
        <v>18</v>
      </c>
      <c r="B19" s="4">
        <v>8539094</v>
      </c>
      <c r="C19" s="5" t="s">
        <v>43</v>
      </c>
      <c r="D19" s="5" t="s">
        <v>39</v>
      </c>
      <c r="E19" s="5" t="s">
        <v>20</v>
      </c>
      <c r="F19" s="28">
        <v>3.2308000000000003E-2</v>
      </c>
      <c r="G19" s="28">
        <v>0.169712</v>
      </c>
      <c r="H19" s="28">
        <v>2.3529000000000001E-2</v>
      </c>
      <c r="I19" s="28">
        <v>4.6115999999999997E-2</v>
      </c>
      <c r="J19" s="28">
        <v>4.9912270000000003</v>
      </c>
      <c r="K19" s="28">
        <v>-2.7459999999999998E-2</v>
      </c>
      <c r="L19" s="28">
        <v>0.54727300000000001</v>
      </c>
      <c r="M19" s="28">
        <v>4.4762999999999997E-2</v>
      </c>
      <c r="N19" s="28">
        <v>1.9583E-2</v>
      </c>
      <c r="O19" s="28">
        <v>0.38401099999999999</v>
      </c>
      <c r="P19" s="28">
        <v>2.1947000000000001E-2</v>
      </c>
      <c r="Q19" s="28">
        <v>-7.8799999999999999E-3</v>
      </c>
      <c r="R19" s="28">
        <v>0.86299899999999996</v>
      </c>
      <c r="S19" s="28">
        <v>4.4993999999999999E-2</v>
      </c>
    </row>
    <row r="20" spans="1:19" ht="15.75" customHeight="1" x14ac:dyDescent="0.25">
      <c r="A20" s="4">
        <v>19</v>
      </c>
      <c r="B20" s="4">
        <v>8545240</v>
      </c>
      <c r="C20" s="5" t="s">
        <v>44</v>
      </c>
      <c r="D20" s="5" t="s">
        <v>42</v>
      </c>
      <c r="E20" s="5" t="s">
        <v>20</v>
      </c>
      <c r="F20" s="28">
        <v>1.5577000000000001E-2</v>
      </c>
      <c r="G20" s="28">
        <v>0.40417900000000001</v>
      </c>
      <c r="H20" s="28">
        <v>1.8672999999999999E-2</v>
      </c>
      <c r="I20" s="28">
        <v>3.6599E-2</v>
      </c>
      <c r="J20" s="28">
        <v>5.2737280000000002</v>
      </c>
      <c r="K20" s="28">
        <v>4.1446999999999998E-2</v>
      </c>
      <c r="L20" s="28">
        <v>0.321405</v>
      </c>
      <c r="M20" s="28">
        <v>4.0936E-2</v>
      </c>
      <c r="N20" s="28">
        <v>-1.456E-2</v>
      </c>
      <c r="O20" s="28">
        <v>0.64788000000000001</v>
      </c>
      <c r="P20" s="28">
        <v>3.1482999999999997E-2</v>
      </c>
      <c r="Q20" s="28">
        <v>2.6884999999999999E-2</v>
      </c>
      <c r="R20" s="28">
        <v>0.41455999999999998</v>
      </c>
      <c r="S20" s="28">
        <v>3.2381E-2</v>
      </c>
    </row>
    <row r="21" spans="1:19" ht="15.75" customHeight="1" x14ac:dyDescent="0.25">
      <c r="A21" s="4">
        <v>20</v>
      </c>
      <c r="B21" s="4">
        <v>8551910</v>
      </c>
      <c r="C21" s="5" t="s">
        <v>45</v>
      </c>
      <c r="D21" s="5" t="s">
        <v>46</v>
      </c>
      <c r="E21" s="5" t="s">
        <v>20</v>
      </c>
      <c r="F21" s="28">
        <v>1.8881999999999999E-2</v>
      </c>
      <c r="G21" s="28">
        <v>0.12600900000000001</v>
      </c>
      <c r="H21" s="28">
        <v>1.2341E-2</v>
      </c>
      <c r="I21" s="28">
        <v>2.4188000000000001E-2</v>
      </c>
      <c r="J21" s="28">
        <v>4.6597499999999998</v>
      </c>
      <c r="K21" s="28">
        <v>-7.1199999999999996E-3</v>
      </c>
      <c r="L21" s="28">
        <v>0.86808099999999999</v>
      </c>
      <c r="M21" s="28">
        <v>4.2467999999999999E-2</v>
      </c>
      <c r="N21" s="28">
        <v>4.1854000000000002E-2</v>
      </c>
      <c r="O21" s="28">
        <v>0.17336599999999999</v>
      </c>
      <c r="P21" s="28">
        <v>2.9898000000000001E-2</v>
      </c>
      <c r="Q21" s="28">
        <v>3.4729999999999997E-2</v>
      </c>
      <c r="R21" s="28">
        <v>0.21123500000000001</v>
      </c>
      <c r="S21" s="28">
        <v>2.7095999999999999E-2</v>
      </c>
    </row>
    <row r="22" spans="1:19" ht="15.75" customHeight="1" x14ac:dyDescent="0.25">
      <c r="A22" s="4">
        <v>21</v>
      </c>
      <c r="B22" s="4">
        <v>8536110</v>
      </c>
      <c r="C22" s="5" t="s">
        <v>47</v>
      </c>
      <c r="D22" s="5" t="s">
        <v>39</v>
      </c>
      <c r="E22" s="5" t="s">
        <v>20</v>
      </c>
      <c r="F22" s="28">
        <v>6.2149000000000003E-2</v>
      </c>
      <c r="G22" s="28">
        <v>4.1060000000000003E-3</v>
      </c>
      <c r="H22" s="28">
        <v>2.1655000000000001E-2</v>
      </c>
      <c r="I22" s="28">
        <v>4.2444000000000003E-2</v>
      </c>
      <c r="J22" s="28">
        <v>6.0151789999999998</v>
      </c>
      <c r="K22" s="28">
        <v>3.3898999999999999E-2</v>
      </c>
      <c r="L22" s="28">
        <v>0.55826799999999999</v>
      </c>
      <c r="M22" s="28">
        <v>5.7023999999999998E-2</v>
      </c>
      <c r="N22" s="28">
        <v>4.1106999999999998E-2</v>
      </c>
      <c r="O22" s="28">
        <v>0.45950099999999999</v>
      </c>
      <c r="P22" s="28">
        <v>5.4599000000000002E-2</v>
      </c>
      <c r="Q22" s="28">
        <v>7.5006000000000003E-2</v>
      </c>
      <c r="R22" s="28">
        <v>3.0157E-2</v>
      </c>
      <c r="S22" s="28">
        <v>3.2362000000000002E-2</v>
      </c>
    </row>
    <row r="23" spans="1:19" ht="15.75" customHeight="1" x14ac:dyDescent="0.25">
      <c r="A23" s="4">
        <v>22</v>
      </c>
      <c r="B23" s="4">
        <v>8557380</v>
      </c>
      <c r="C23" s="5" t="s">
        <v>48</v>
      </c>
      <c r="D23" s="5" t="s">
        <v>46</v>
      </c>
      <c r="E23" s="5" t="s">
        <v>20</v>
      </c>
      <c r="F23" s="28">
        <v>2.8489E-2</v>
      </c>
      <c r="G23" s="28">
        <v>9.9578E-2</v>
      </c>
      <c r="H23" s="28">
        <v>1.7298999999999998E-2</v>
      </c>
      <c r="I23" s="28">
        <v>3.3905999999999999E-2</v>
      </c>
      <c r="J23" s="28">
        <v>6.0135880000000004</v>
      </c>
      <c r="K23" s="28">
        <v>1.1213000000000001E-2</v>
      </c>
      <c r="L23" s="28">
        <v>0.85032300000000005</v>
      </c>
      <c r="M23" s="28">
        <v>5.8724999999999999E-2</v>
      </c>
      <c r="N23" s="28">
        <v>-2.82E-3</v>
      </c>
      <c r="O23" s="28">
        <v>0.95701800000000004</v>
      </c>
      <c r="P23" s="28">
        <v>5.1663000000000001E-2</v>
      </c>
      <c r="Q23" s="28">
        <v>8.397E-3</v>
      </c>
      <c r="R23" s="28">
        <v>0.83180600000000005</v>
      </c>
      <c r="S23" s="28">
        <v>3.9067999999999999E-2</v>
      </c>
    </row>
    <row r="24" spans="1:19" ht="15.75" customHeight="1" x14ac:dyDescent="0.25">
      <c r="A24" s="4">
        <v>23</v>
      </c>
      <c r="B24" s="4">
        <v>8573927</v>
      </c>
      <c r="C24" s="5" t="s">
        <v>49</v>
      </c>
      <c r="D24" s="5" t="s">
        <v>50</v>
      </c>
      <c r="E24" s="5" t="s">
        <v>20</v>
      </c>
      <c r="F24" s="28">
        <v>5.1859000000000002E-2</v>
      </c>
      <c r="G24" s="28">
        <v>1.4359E-2</v>
      </c>
      <c r="H24" s="28">
        <v>2.1183E-2</v>
      </c>
      <c r="I24" s="28">
        <v>4.1517999999999999E-2</v>
      </c>
      <c r="J24" s="28">
        <v>6.7452100000000002</v>
      </c>
      <c r="K24" s="28">
        <v>-1.2699999999999999E-2</v>
      </c>
      <c r="L24" s="28">
        <v>0.810002</v>
      </c>
      <c r="M24" s="28">
        <v>5.2004000000000002E-2</v>
      </c>
      <c r="N24" s="28">
        <v>6.3081999999999999E-2</v>
      </c>
      <c r="O24" s="28">
        <v>0.18006800000000001</v>
      </c>
      <c r="P24" s="28">
        <v>4.5121000000000001E-2</v>
      </c>
      <c r="Q24" s="28">
        <v>5.0382999999999997E-2</v>
      </c>
      <c r="R24" s="28">
        <v>0.19832</v>
      </c>
      <c r="S24" s="28">
        <v>3.7637999999999998E-2</v>
      </c>
    </row>
    <row r="25" spans="1:19" ht="15.75" customHeight="1" x14ac:dyDescent="0.25">
      <c r="A25" s="4">
        <v>24</v>
      </c>
      <c r="B25" s="4">
        <v>8574680</v>
      </c>
      <c r="C25" s="5" t="s">
        <v>51</v>
      </c>
      <c r="D25" s="5" t="s">
        <v>50</v>
      </c>
      <c r="E25" s="5" t="s">
        <v>20</v>
      </c>
      <c r="F25" s="28">
        <v>7.5550000000000006E-2</v>
      </c>
      <c r="G25" s="28">
        <v>1.7E-6</v>
      </c>
      <c r="H25" s="28">
        <v>1.5782999999999998E-2</v>
      </c>
      <c r="I25" s="28">
        <v>3.0935000000000001E-2</v>
      </c>
      <c r="J25" s="28">
        <v>5.0041739999999999</v>
      </c>
      <c r="K25" s="28">
        <v>6.3305E-2</v>
      </c>
      <c r="L25" s="28">
        <v>0.19006400000000001</v>
      </c>
      <c r="M25" s="28">
        <v>4.6746999999999997E-2</v>
      </c>
      <c r="N25" s="28">
        <v>4.1985000000000001E-2</v>
      </c>
      <c r="O25" s="28">
        <v>0.35308</v>
      </c>
      <c r="P25" s="28">
        <v>4.4209999999999999E-2</v>
      </c>
      <c r="Q25" s="28">
        <v>0.10528999999999999</v>
      </c>
      <c r="R25" s="28">
        <v>1.11E-5</v>
      </c>
      <c r="S25" s="28">
        <v>1.8391999999999999E-2</v>
      </c>
    </row>
    <row r="26" spans="1:19" ht="15.75" customHeight="1" x14ac:dyDescent="0.25">
      <c r="A26" s="4">
        <v>25</v>
      </c>
      <c r="B26" s="4">
        <v>8573364</v>
      </c>
      <c r="C26" s="5" t="s">
        <v>52</v>
      </c>
      <c r="D26" s="5" t="s">
        <v>50</v>
      </c>
      <c r="E26" s="5" t="s">
        <v>20</v>
      </c>
      <c r="F26" s="28">
        <v>6.5918000000000004E-2</v>
      </c>
      <c r="G26" s="28">
        <v>1.36E-5</v>
      </c>
      <c r="H26" s="28">
        <v>1.5151E-2</v>
      </c>
      <c r="I26" s="28">
        <v>2.9696E-2</v>
      </c>
      <c r="J26" s="28">
        <v>5.5534540000000003</v>
      </c>
      <c r="K26" s="28">
        <v>4.3027999999999997E-2</v>
      </c>
      <c r="L26" s="28">
        <v>0.16382099999999999</v>
      </c>
      <c r="M26" s="28">
        <v>3.0030000000000001E-2</v>
      </c>
      <c r="N26" s="28">
        <v>4.0312000000000001E-2</v>
      </c>
      <c r="O26" s="28">
        <v>0.14014099999999999</v>
      </c>
      <c r="P26" s="28">
        <v>2.6491000000000001E-2</v>
      </c>
      <c r="Q26" s="28">
        <v>8.3339999999999997E-2</v>
      </c>
      <c r="R26" s="28">
        <v>8.4229999999999999E-3</v>
      </c>
      <c r="S26" s="28">
        <v>2.9231E-2</v>
      </c>
    </row>
    <row r="27" spans="1:19" ht="15.75" customHeight="1" x14ac:dyDescent="0.25">
      <c r="A27" s="4">
        <v>26</v>
      </c>
      <c r="B27" s="4">
        <v>8594900</v>
      </c>
      <c r="C27" s="5" t="s">
        <v>53</v>
      </c>
      <c r="D27" s="5" t="s">
        <v>54</v>
      </c>
      <c r="E27" s="5" t="s">
        <v>20</v>
      </c>
      <c r="F27" s="28">
        <v>-8.4399999999999996E-3</v>
      </c>
      <c r="G27" s="28">
        <v>0.59962599999999999</v>
      </c>
      <c r="H27" s="28">
        <v>1.6076E-2</v>
      </c>
      <c r="I27" s="28">
        <v>3.1509000000000002E-2</v>
      </c>
      <c r="J27" s="28">
        <v>4.9555429999999996</v>
      </c>
      <c r="K27" s="28">
        <v>2.8310999999999999E-2</v>
      </c>
      <c r="L27" s="28">
        <v>0.36803200000000003</v>
      </c>
      <c r="M27" s="28">
        <v>3.0772999999999998E-2</v>
      </c>
      <c r="N27" s="28">
        <v>-1.555E-2</v>
      </c>
      <c r="O27" s="28">
        <v>0.69080699999999995</v>
      </c>
      <c r="P27" s="28">
        <v>3.8545000000000003E-2</v>
      </c>
      <c r="Q27" s="28">
        <v>1.2766E-2</v>
      </c>
      <c r="R27" s="28">
        <v>0.63048199999999999</v>
      </c>
      <c r="S27" s="28">
        <v>2.615E-2</v>
      </c>
    </row>
    <row r="28" spans="1:19" ht="15.75" customHeight="1" x14ac:dyDescent="0.25">
      <c r="A28" s="4">
        <v>27</v>
      </c>
      <c r="B28" s="4">
        <v>8577330</v>
      </c>
      <c r="C28" s="5" t="s">
        <v>55</v>
      </c>
      <c r="D28" s="5" t="s">
        <v>50</v>
      </c>
      <c r="E28" s="5" t="s">
        <v>20</v>
      </c>
      <c r="F28" s="28">
        <v>5.8571999999999999E-2</v>
      </c>
      <c r="G28" s="28">
        <v>1.0020000000000001E-3</v>
      </c>
      <c r="H28" s="28">
        <v>1.7802999999999999E-2</v>
      </c>
      <c r="I28" s="28">
        <v>3.4893E-2</v>
      </c>
      <c r="J28" s="28">
        <v>6.0570940000000002</v>
      </c>
      <c r="K28" s="28">
        <v>-2.81E-3</v>
      </c>
      <c r="L28" s="28">
        <v>0.94707699999999995</v>
      </c>
      <c r="M28" s="28">
        <v>4.1870999999999998E-2</v>
      </c>
      <c r="N28" s="28">
        <v>5.9334999999999999E-2</v>
      </c>
      <c r="O28" s="28">
        <v>0.17599200000000001</v>
      </c>
      <c r="P28" s="28">
        <v>4.2554000000000002E-2</v>
      </c>
      <c r="Q28" s="28">
        <v>5.6526E-2</v>
      </c>
      <c r="R28" s="28">
        <v>6.4854999999999996E-2</v>
      </c>
      <c r="S28" s="28">
        <v>2.9211999999999998E-2</v>
      </c>
    </row>
    <row r="29" spans="1:19" ht="15.75" customHeight="1" x14ac:dyDescent="0.25">
      <c r="A29" s="4">
        <v>28</v>
      </c>
      <c r="B29" s="4">
        <v>8635750</v>
      </c>
      <c r="C29" s="5" t="s">
        <v>56</v>
      </c>
      <c r="D29" s="5" t="s">
        <v>57</v>
      </c>
      <c r="E29" s="5" t="s">
        <v>20</v>
      </c>
      <c r="F29" s="28">
        <v>6.1296000000000003E-2</v>
      </c>
      <c r="G29" s="28">
        <v>8.7299999999999994E-6</v>
      </c>
      <c r="H29" s="28">
        <v>1.3786E-2</v>
      </c>
      <c r="I29" s="28">
        <v>2.7019999999999999E-2</v>
      </c>
      <c r="J29" s="28">
        <v>7.0441760000000002</v>
      </c>
      <c r="K29" s="28">
        <v>3.3189999999999999E-3</v>
      </c>
      <c r="L29" s="28">
        <v>0.91513599999999995</v>
      </c>
      <c r="M29" s="28">
        <v>3.0856000000000001E-2</v>
      </c>
      <c r="N29" s="28">
        <v>5.9518000000000001E-2</v>
      </c>
      <c r="O29" s="28">
        <v>8.9379E-2</v>
      </c>
      <c r="P29" s="28">
        <v>3.3778000000000002E-2</v>
      </c>
      <c r="Q29" s="28">
        <v>6.2837000000000004E-2</v>
      </c>
      <c r="R29" s="28">
        <v>1.9488999999999999E-2</v>
      </c>
      <c r="S29" s="28">
        <v>2.5295999999999999E-2</v>
      </c>
    </row>
    <row r="30" spans="1:19" ht="15.75" customHeight="1" x14ac:dyDescent="0.25">
      <c r="A30" s="4">
        <v>29</v>
      </c>
      <c r="B30" s="4">
        <v>8632200</v>
      </c>
      <c r="C30" s="5" t="s">
        <v>58</v>
      </c>
      <c r="D30" s="5" t="s">
        <v>57</v>
      </c>
      <c r="E30" s="5" t="s">
        <v>20</v>
      </c>
      <c r="F30" s="28">
        <v>7.8144000000000005E-2</v>
      </c>
      <c r="G30" s="28">
        <v>8.72E-8</v>
      </c>
      <c r="H30" s="28">
        <v>1.4602E-2</v>
      </c>
      <c r="I30" s="28">
        <v>2.862E-2</v>
      </c>
      <c r="J30" s="28">
        <v>5.0825990000000001</v>
      </c>
      <c r="K30" s="28">
        <v>3.3120999999999998E-2</v>
      </c>
      <c r="L30" s="28">
        <v>0.44836700000000002</v>
      </c>
      <c r="M30" s="28">
        <v>4.3027000000000003E-2</v>
      </c>
      <c r="N30" s="28">
        <v>5.1201999999999998E-2</v>
      </c>
      <c r="O30" s="28">
        <v>0.23855000000000001</v>
      </c>
      <c r="P30" s="28">
        <v>4.2444000000000003E-2</v>
      </c>
      <c r="Q30" s="28">
        <v>8.4322999999999995E-2</v>
      </c>
      <c r="R30" s="28">
        <v>1.12E-4</v>
      </c>
      <c r="S30" s="28">
        <v>1.8554999999999999E-2</v>
      </c>
    </row>
    <row r="31" spans="1:19" ht="15.75" customHeight="1" x14ac:dyDescent="0.25">
      <c r="A31" s="4">
        <v>30</v>
      </c>
      <c r="B31" s="4">
        <v>8637689</v>
      </c>
      <c r="C31" s="5" t="s">
        <v>59</v>
      </c>
      <c r="D31" s="5" t="s">
        <v>57</v>
      </c>
      <c r="E31" s="5" t="s">
        <v>20</v>
      </c>
      <c r="F31" s="28">
        <v>3.8545000000000003E-2</v>
      </c>
      <c r="G31" s="28">
        <v>9.9836999999999995E-2</v>
      </c>
      <c r="H31" s="28">
        <v>2.3422999999999999E-2</v>
      </c>
      <c r="I31" s="28">
        <v>4.5907999999999997E-2</v>
      </c>
      <c r="J31" s="28">
        <v>6.2551189999999997</v>
      </c>
      <c r="K31" s="28">
        <v>-8.6650000000000005E-2</v>
      </c>
      <c r="L31" s="28">
        <v>0.302813</v>
      </c>
      <c r="M31" s="28">
        <v>8.1546999999999994E-2</v>
      </c>
      <c r="N31" s="28">
        <v>4.8259999999999997E-2</v>
      </c>
      <c r="O31" s="28">
        <v>0.54097499999999998</v>
      </c>
      <c r="P31" s="28">
        <v>7.7352000000000004E-2</v>
      </c>
      <c r="Q31" s="28">
        <v>-3.8390000000000001E-2</v>
      </c>
      <c r="R31" s="28">
        <v>0.51220299999999996</v>
      </c>
      <c r="S31" s="28">
        <v>5.7350999999999999E-2</v>
      </c>
    </row>
    <row r="32" spans="1:19" ht="15.75" customHeight="1" x14ac:dyDescent="0.25">
      <c r="A32" s="4">
        <v>31</v>
      </c>
      <c r="B32" s="4">
        <v>8638863</v>
      </c>
      <c r="C32" s="5" t="s">
        <v>60</v>
      </c>
      <c r="D32" s="5" t="s">
        <v>57</v>
      </c>
      <c r="E32" s="5" t="s">
        <v>20</v>
      </c>
      <c r="F32" s="28">
        <v>3.5082000000000002E-2</v>
      </c>
      <c r="G32" s="28">
        <v>6.9634000000000001E-2</v>
      </c>
      <c r="H32" s="28">
        <v>1.9337E-2</v>
      </c>
      <c r="I32" s="28">
        <v>3.7900000000000003E-2</v>
      </c>
      <c r="J32" s="28">
        <v>6.1051000000000002</v>
      </c>
      <c r="K32" s="28">
        <v>8.9020000000000002E-3</v>
      </c>
      <c r="L32" s="28">
        <v>0.86956100000000003</v>
      </c>
      <c r="M32" s="28">
        <v>5.3577E-2</v>
      </c>
      <c r="N32" s="28">
        <v>1.9723999999999998E-2</v>
      </c>
      <c r="O32" s="28">
        <v>0.74750000000000005</v>
      </c>
      <c r="P32" s="28">
        <v>6.0503000000000001E-2</v>
      </c>
      <c r="Q32" s="28">
        <v>2.8625999999999999E-2</v>
      </c>
      <c r="R32" s="28">
        <v>0.25048900000000002</v>
      </c>
      <c r="S32" s="28">
        <v>2.4253E-2</v>
      </c>
    </row>
    <row r="33" spans="1:19" ht="15.75" customHeight="1" x14ac:dyDescent="0.25">
      <c r="A33" s="4">
        <v>32</v>
      </c>
      <c r="B33" s="4">
        <v>8631044</v>
      </c>
      <c r="C33" s="5" t="s">
        <v>61</v>
      </c>
      <c r="D33" s="5" t="s">
        <v>57</v>
      </c>
      <c r="E33" s="5" t="s">
        <v>20</v>
      </c>
      <c r="F33" s="28">
        <v>4.0113000000000003E-2</v>
      </c>
      <c r="G33" s="28">
        <v>3.7810000000000001E-3</v>
      </c>
      <c r="H33" s="28">
        <v>1.3852E-2</v>
      </c>
      <c r="I33" s="28">
        <v>2.7149E-2</v>
      </c>
      <c r="J33" s="28">
        <v>5.8294730000000001</v>
      </c>
      <c r="K33" s="28">
        <v>0.14169999999999999</v>
      </c>
      <c r="L33" s="28">
        <v>5.189E-3</v>
      </c>
      <c r="M33" s="28">
        <v>4.6264E-2</v>
      </c>
      <c r="N33" s="28">
        <v>-4.3560000000000001E-2</v>
      </c>
      <c r="O33" s="28">
        <v>0.20457700000000001</v>
      </c>
      <c r="P33" s="28">
        <v>3.3443000000000001E-2</v>
      </c>
      <c r="Q33" s="28">
        <v>9.8136000000000001E-2</v>
      </c>
      <c r="R33" s="28">
        <v>8.4900000000000004E-4</v>
      </c>
      <c r="S33" s="28">
        <v>2.5898000000000001E-2</v>
      </c>
    </row>
    <row r="34" spans="1:19" ht="15.75" customHeight="1" x14ac:dyDescent="0.25">
      <c r="A34" s="4">
        <v>33</v>
      </c>
      <c r="B34" s="4">
        <v>8651370</v>
      </c>
      <c r="C34" s="5" t="s">
        <v>62</v>
      </c>
      <c r="D34" s="5" t="s">
        <v>63</v>
      </c>
      <c r="E34" s="5" t="s">
        <v>64</v>
      </c>
      <c r="F34" s="28">
        <v>2.9474E-2</v>
      </c>
      <c r="G34" s="28">
        <v>0.149086</v>
      </c>
      <c r="H34" s="28">
        <v>2.0428999999999999E-2</v>
      </c>
      <c r="I34" s="28">
        <v>4.0039999999999999E-2</v>
      </c>
      <c r="J34" s="28">
        <v>5.2266370000000002</v>
      </c>
      <c r="K34" s="28">
        <v>-2.554E-2</v>
      </c>
      <c r="L34" s="28">
        <v>0.65499300000000005</v>
      </c>
      <c r="M34" s="28">
        <v>5.6377999999999998E-2</v>
      </c>
      <c r="N34" s="28">
        <v>2.8201E-2</v>
      </c>
      <c r="O34" s="28">
        <v>0.59602699999999997</v>
      </c>
      <c r="P34" s="28">
        <v>5.2426E-2</v>
      </c>
      <c r="Q34" s="28">
        <v>2.663E-3</v>
      </c>
      <c r="R34" s="28">
        <v>0.944303</v>
      </c>
      <c r="S34" s="28">
        <v>3.7683000000000001E-2</v>
      </c>
    </row>
    <row r="35" spans="1:19" ht="15.75" customHeight="1" x14ac:dyDescent="0.25">
      <c r="A35" s="4">
        <v>34</v>
      </c>
      <c r="B35" s="4">
        <v>8652587</v>
      </c>
      <c r="C35" s="5" t="s">
        <v>65</v>
      </c>
      <c r="D35" s="5" t="s">
        <v>63</v>
      </c>
      <c r="E35" s="5" t="s">
        <v>64</v>
      </c>
      <c r="F35" s="28">
        <v>9.1470999999999997E-2</v>
      </c>
      <c r="G35" s="28">
        <v>1.74E-7</v>
      </c>
      <c r="H35" s="28">
        <v>1.7503999999999999E-2</v>
      </c>
      <c r="I35" s="28">
        <v>3.4307999999999998E-2</v>
      </c>
      <c r="J35" s="28">
        <v>6.3793980000000001</v>
      </c>
      <c r="K35" s="28">
        <v>-1.1310000000000001E-2</v>
      </c>
      <c r="L35" s="28">
        <v>0.78665700000000005</v>
      </c>
      <c r="M35" s="28">
        <v>4.1359E-2</v>
      </c>
      <c r="N35" s="28">
        <v>0.103965</v>
      </c>
      <c r="O35" s="28">
        <v>1.2742E-2</v>
      </c>
      <c r="P35" s="28">
        <v>3.8746000000000003E-2</v>
      </c>
      <c r="Q35" s="28">
        <v>9.2649999999999996E-2</v>
      </c>
      <c r="R35" s="28">
        <v>2.7369999999999998E-3</v>
      </c>
      <c r="S35" s="28">
        <v>2.7872000000000001E-2</v>
      </c>
    </row>
    <row r="36" spans="1:19" ht="15.75" customHeight="1" x14ac:dyDescent="0.25">
      <c r="A36" s="4">
        <v>35</v>
      </c>
      <c r="B36" s="4">
        <v>8658120</v>
      </c>
      <c r="C36" s="5" t="s">
        <v>66</v>
      </c>
      <c r="D36" s="5" t="s">
        <v>63</v>
      </c>
      <c r="E36" s="5" t="s">
        <v>64</v>
      </c>
      <c r="F36" s="28">
        <v>6.3920000000000005E-2</v>
      </c>
      <c r="G36" s="28">
        <v>1.84E-4</v>
      </c>
      <c r="H36" s="28">
        <v>1.7090000000000001E-2</v>
      </c>
      <c r="I36" s="28">
        <v>3.3496999999999999E-2</v>
      </c>
      <c r="J36" s="28">
        <v>5.6498460000000001</v>
      </c>
      <c r="K36" s="28">
        <v>-9.9299999999999996E-3</v>
      </c>
      <c r="L36" s="28">
        <v>0.77863899999999997</v>
      </c>
      <c r="M36" s="28">
        <v>3.4915000000000002E-2</v>
      </c>
      <c r="N36" s="28">
        <v>5.5268999999999999E-2</v>
      </c>
      <c r="O36" s="28">
        <v>0.19642499999999999</v>
      </c>
      <c r="P36" s="28">
        <v>4.1595E-2</v>
      </c>
      <c r="Q36" s="28">
        <v>4.5344000000000002E-2</v>
      </c>
      <c r="R36" s="28">
        <v>6.7227999999999996E-2</v>
      </c>
      <c r="S36" s="28">
        <v>2.3654000000000001E-2</v>
      </c>
    </row>
    <row r="37" spans="1:19" ht="15.75" customHeight="1" x14ac:dyDescent="0.25">
      <c r="A37" s="4">
        <v>36</v>
      </c>
      <c r="B37" s="4">
        <v>8665530</v>
      </c>
      <c r="C37" s="5" t="s">
        <v>67</v>
      </c>
      <c r="D37" s="5" t="s">
        <v>68</v>
      </c>
      <c r="E37" s="5" t="s">
        <v>64</v>
      </c>
      <c r="F37" s="28">
        <v>2.0371E-2</v>
      </c>
      <c r="G37" s="28">
        <v>0.248503</v>
      </c>
      <c r="H37" s="28">
        <v>1.7652999999999999E-2</v>
      </c>
      <c r="I37" s="28">
        <v>3.4599999999999999E-2</v>
      </c>
      <c r="J37" s="28">
        <v>5.9193280000000001</v>
      </c>
      <c r="K37" s="28">
        <v>-8.4860000000000005E-2</v>
      </c>
      <c r="L37" s="28">
        <v>0.265928</v>
      </c>
      <c r="M37" s="28">
        <v>7.3772000000000004E-2</v>
      </c>
      <c r="N37" s="28">
        <v>6.4686999999999995E-2</v>
      </c>
      <c r="O37" s="28">
        <v>0.35776799999999997</v>
      </c>
      <c r="P37" s="28">
        <v>6.8432999999999994E-2</v>
      </c>
      <c r="Q37" s="28">
        <v>-2.018E-2</v>
      </c>
      <c r="R37" s="28">
        <v>0.621892</v>
      </c>
      <c r="S37" s="28">
        <v>4.0167000000000001E-2</v>
      </c>
    </row>
    <row r="38" spans="1:19" ht="15" x14ac:dyDescent="0.25">
      <c r="A38" s="4">
        <v>37</v>
      </c>
      <c r="B38" s="4">
        <v>8721604</v>
      </c>
      <c r="C38" s="5" t="s">
        <v>69</v>
      </c>
      <c r="D38" s="5" t="s">
        <v>70</v>
      </c>
      <c r="E38" s="5" t="s">
        <v>64</v>
      </c>
      <c r="F38" s="28">
        <v>7.1249000000000007E-2</v>
      </c>
      <c r="G38" s="28">
        <v>3.728E-3</v>
      </c>
      <c r="H38" s="28">
        <v>2.4566000000000001E-2</v>
      </c>
      <c r="I38" s="28">
        <v>4.8149999999999998E-2</v>
      </c>
      <c r="J38" s="28">
        <v>6.4695140000000002</v>
      </c>
      <c r="K38" s="28">
        <v>-0.16020999999999999</v>
      </c>
      <c r="L38" s="28">
        <v>4.4673999999999998E-2</v>
      </c>
      <c r="M38" s="28">
        <v>7.3546E-2</v>
      </c>
      <c r="N38" s="28">
        <v>0.12748100000000001</v>
      </c>
      <c r="O38" s="28">
        <v>0.100634</v>
      </c>
      <c r="P38" s="28">
        <v>7.3166999999999996E-2</v>
      </c>
      <c r="Q38" s="28">
        <v>-3.2730000000000002E-2</v>
      </c>
      <c r="R38" s="28">
        <v>0.44855800000000001</v>
      </c>
      <c r="S38" s="28">
        <v>4.2133999999999998E-2</v>
      </c>
    </row>
    <row r="39" spans="1:19" ht="15" x14ac:dyDescent="0.25">
      <c r="A39" s="4">
        <v>38</v>
      </c>
      <c r="B39" s="4">
        <v>8723970</v>
      </c>
      <c r="C39" s="5" t="s">
        <v>71</v>
      </c>
      <c r="D39" s="5" t="s">
        <v>70</v>
      </c>
      <c r="E39" s="5" t="s">
        <v>64</v>
      </c>
      <c r="F39" s="28">
        <v>1.3054E-2</v>
      </c>
      <c r="G39" s="28">
        <v>0.160915</v>
      </c>
      <c r="H39" s="28">
        <v>9.3109999999999998E-3</v>
      </c>
      <c r="I39" s="28">
        <v>1.8249000000000001E-2</v>
      </c>
      <c r="J39" s="28">
        <v>5.6589799999999997</v>
      </c>
      <c r="K39" s="28">
        <v>-5.0900000000000001E-2</v>
      </c>
      <c r="L39" s="28">
        <v>0.27253100000000002</v>
      </c>
      <c r="M39" s="28">
        <v>4.5225000000000001E-2</v>
      </c>
      <c r="N39" s="28">
        <v>3.9800000000000002E-2</v>
      </c>
      <c r="O39" s="28">
        <v>0.37254399999999999</v>
      </c>
      <c r="P39" s="28">
        <v>4.3722999999999998E-2</v>
      </c>
      <c r="Q39" s="28">
        <v>-1.11E-2</v>
      </c>
      <c r="R39" s="28">
        <v>0.49779400000000001</v>
      </c>
      <c r="S39" s="28">
        <v>1.6098999999999999E-2</v>
      </c>
    </row>
    <row r="40" spans="1:19" ht="15" x14ac:dyDescent="0.25">
      <c r="A40" s="4">
        <v>39</v>
      </c>
      <c r="B40" s="4">
        <v>8724580</v>
      </c>
      <c r="C40" s="5" t="s">
        <v>72</v>
      </c>
      <c r="D40" s="5" t="s">
        <v>70</v>
      </c>
      <c r="E40" s="5" t="s">
        <v>64</v>
      </c>
      <c r="F40" s="28">
        <v>5.2718000000000001E-2</v>
      </c>
      <c r="G40" s="28">
        <v>8.6900000000000004E-9</v>
      </c>
      <c r="H40" s="28">
        <v>9.1610000000000007E-3</v>
      </c>
      <c r="I40" s="28">
        <v>1.7956E-2</v>
      </c>
      <c r="J40" s="28">
        <v>5.0999439999999998</v>
      </c>
      <c r="K40" s="28">
        <v>-3.6380000000000003E-2</v>
      </c>
      <c r="L40" s="28">
        <v>0.34548099999999998</v>
      </c>
      <c r="M40" s="28">
        <v>3.7774000000000002E-2</v>
      </c>
      <c r="N40" s="28">
        <v>7.8687000000000007E-2</v>
      </c>
      <c r="O40" s="28">
        <v>2.5090999999999999E-2</v>
      </c>
      <c r="P40" s="28">
        <v>3.2837999999999999E-2</v>
      </c>
      <c r="Q40" s="28">
        <v>4.2305000000000002E-2</v>
      </c>
      <c r="R40" s="28">
        <v>3.0490000000000001E-3</v>
      </c>
      <c r="S40" s="28">
        <v>1.2777999999999999E-2</v>
      </c>
    </row>
    <row r="41" spans="1:19" ht="15" x14ac:dyDescent="0.25">
      <c r="A41" s="4">
        <v>40</v>
      </c>
      <c r="B41" s="4">
        <v>8725520</v>
      </c>
      <c r="C41" s="5" t="s">
        <v>73</v>
      </c>
      <c r="D41" s="5" t="s">
        <v>70</v>
      </c>
      <c r="E41" s="5" t="s">
        <v>74</v>
      </c>
      <c r="F41" s="28">
        <v>7.2636000000000006E-2</v>
      </c>
      <c r="G41" s="28">
        <v>8.65E-8</v>
      </c>
      <c r="H41" s="28">
        <v>1.3568999999999999E-2</v>
      </c>
      <c r="I41" s="28">
        <v>2.6596000000000002E-2</v>
      </c>
      <c r="J41" s="28">
        <v>5.6356120000000001</v>
      </c>
      <c r="K41" s="28">
        <v>-1.9650000000000001E-2</v>
      </c>
      <c r="L41" s="28">
        <v>0.661852</v>
      </c>
      <c r="M41" s="28">
        <v>4.4338000000000002E-2</v>
      </c>
      <c r="N41" s="28">
        <v>8.6351999999999998E-2</v>
      </c>
      <c r="O41" s="28">
        <v>7.2835999999999998E-2</v>
      </c>
      <c r="P41" s="28">
        <v>4.5932000000000001E-2</v>
      </c>
      <c r="Q41" s="28">
        <v>6.6707000000000002E-2</v>
      </c>
      <c r="R41" s="28">
        <v>6.4899999999999995E-4</v>
      </c>
      <c r="S41" s="28">
        <v>1.6920999999999999E-2</v>
      </c>
    </row>
    <row r="42" spans="1:19" ht="15" x14ac:dyDescent="0.25">
      <c r="A42" s="4">
        <v>41</v>
      </c>
      <c r="B42" s="4">
        <v>8726724</v>
      </c>
      <c r="C42" s="5" t="s">
        <v>75</v>
      </c>
      <c r="D42" s="5" t="s">
        <v>70</v>
      </c>
      <c r="E42" s="5" t="s">
        <v>74</v>
      </c>
      <c r="F42" s="28">
        <v>7.0362999999999995E-2</v>
      </c>
      <c r="G42" s="28">
        <v>7.0200000000000001E-7</v>
      </c>
      <c r="H42" s="28">
        <v>1.4184E-2</v>
      </c>
      <c r="I42" s="28">
        <v>2.7799999999999998E-2</v>
      </c>
      <c r="J42" s="28">
        <v>6.2153299999999998</v>
      </c>
      <c r="K42" s="28">
        <v>-6.3759999999999997E-2</v>
      </c>
      <c r="L42" s="28">
        <v>0.178924</v>
      </c>
      <c r="M42" s="28">
        <v>4.6157999999999998E-2</v>
      </c>
      <c r="N42" s="28">
        <v>0.102377</v>
      </c>
      <c r="O42" s="28">
        <v>2.9819999999999998E-3</v>
      </c>
      <c r="P42" s="28">
        <v>3.125E-2</v>
      </c>
      <c r="Q42" s="28">
        <v>3.8615999999999998E-2</v>
      </c>
      <c r="R42" s="28">
        <v>0.379745</v>
      </c>
      <c r="S42" s="28">
        <v>4.3215000000000003E-2</v>
      </c>
    </row>
    <row r="43" spans="1:19" ht="15" x14ac:dyDescent="0.25">
      <c r="A43" s="4">
        <v>42</v>
      </c>
      <c r="B43" s="4">
        <v>8728690</v>
      </c>
      <c r="C43" s="5" t="s">
        <v>76</v>
      </c>
      <c r="D43" s="5" t="s">
        <v>70</v>
      </c>
      <c r="E43" s="5" t="s">
        <v>74</v>
      </c>
      <c r="F43" s="28">
        <v>6.6314999999999999E-2</v>
      </c>
      <c r="G43" s="28">
        <v>9.9699999999999994E-7</v>
      </c>
      <c r="H43" s="28">
        <v>1.3554999999999999E-2</v>
      </c>
      <c r="I43" s="28">
        <v>2.6568999999999999E-2</v>
      </c>
      <c r="J43" s="28">
        <v>5.2344580000000001</v>
      </c>
      <c r="K43" s="28">
        <v>-0.13036</v>
      </c>
      <c r="L43" s="28">
        <v>6.1310000000000002E-3</v>
      </c>
      <c r="M43" s="28">
        <v>4.3547000000000002E-2</v>
      </c>
      <c r="N43" s="28">
        <v>0.19893</v>
      </c>
      <c r="O43" s="28">
        <v>3.63E-6</v>
      </c>
      <c r="P43" s="28">
        <v>3.3667000000000002E-2</v>
      </c>
      <c r="Q43" s="28">
        <v>6.8565000000000001E-2</v>
      </c>
      <c r="R43" s="28">
        <v>8.5019999999999991E-3</v>
      </c>
      <c r="S43" s="28">
        <v>2.4004000000000001E-2</v>
      </c>
    </row>
    <row r="44" spans="1:19" ht="15" x14ac:dyDescent="0.25">
      <c r="A44" s="4">
        <v>43</v>
      </c>
      <c r="B44" s="4">
        <v>8729108</v>
      </c>
      <c r="C44" s="5" t="s">
        <v>77</v>
      </c>
      <c r="D44" s="5" t="s">
        <v>70</v>
      </c>
      <c r="E44" s="5" t="s">
        <v>74</v>
      </c>
      <c r="F44" s="28">
        <v>-2.3040000000000001E-2</v>
      </c>
      <c r="G44" s="28">
        <v>9.7282999999999994E-2</v>
      </c>
      <c r="H44" s="28">
        <v>1.3896E-2</v>
      </c>
      <c r="I44" s="28">
        <v>2.7236E-2</v>
      </c>
      <c r="J44" s="28">
        <v>5.1773490000000004</v>
      </c>
      <c r="K44" s="28">
        <v>-6.1109999999999998E-2</v>
      </c>
      <c r="L44" s="28">
        <v>0.20657800000000001</v>
      </c>
      <c r="M44" s="28">
        <v>4.6639E-2</v>
      </c>
      <c r="N44" s="28">
        <v>1.0947999999999999E-2</v>
      </c>
      <c r="O44" s="28">
        <v>0.80335599999999996</v>
      </c>
      <c r="P44" s="28">
        <v>4.3324000000000001E-2</v>
      </c>
      <c r="Q44" s="28">
        <v>-5.0160000000000003E-2</v>
      </c>
      <c r="R44" s="28">
        <v>1.2160000000000001E-2</v>
      </c>
      <c r="S44" s="28">
        <v>1.7996000000000002E-2</v>
      </c>
    </row>
    <row r="45" spans="1:19" ht="15" x14ac:dyDescent="0.25">
      <c r="A45" s="4">
        <v>44</v>
      </c>
      <c r="B45" s="4">
        <v>8729210</v>
      </c>
      <c r="C45" s="5" t="s">
        <v>78</v>
      </c>
      <c r="D45" s="5" t="s">
        <v>70</v>
      </c>
      <c r="E45" s="5" t="s">
        <v>74</v>
      </c>
      <c r="F45" s="28">
        <v>3.2458000000000001E-2</v>
      </c>
      <c r="G45" s="28">
        <v>8.9800000000000001E-5</v>
      </c>
      <c r="H45" s="28">
        <v>8.2869999999999992E-3</v>
      </c>
      <c r="I45" s="28">
        <v>1.6243E-2</v>
      </c>
      <c r="J45" s="28">
        <v>5.2852969999999999</v>
      </c>
      <c r="K45" s="28">
        <v>-3.891E-2</v>
      </c>
      <c r="L45" s="28">
        <v>6.2502000000000002E-2</v>
      </c>
      <c r="M45" s="28">
        <v>1.9779000000000001E-2</v>
      </c>
      <c r="N45" s="28">
        <v>5.5145E-2</v>
      </c>
      <c r="O45" s="28">
        <v>2.0872000000000002E-2</v>
      </c>
      <c r="P45" s="28">
        <v>2.2076999999999999E-2</v>
      </c>
      <c r="Q45" s="28">
        <v>1.6233999999999998E-2</v>
      </c>
      <c r="R45" s="28">
        <v>7.9696000000000003E-2</v>
      </c>
      <c r="S45" s="28">
        <v>8.8149999999999999E-3</v>
      </c>
    </row>
    <row r="46" spans="1:19" ht="15" x14ac:dyDescent="0.25">
      <c r="A46" s="4">
        <v>45</v>
      </c>
      <c r="B46" s="4">
        <v>8729840</v>
      </c>
      <c r="C46" s="5" t="s">
        <v>79</v>
      </c>
      <c r="D46" s="5" t="s">
        <v>70</v>
      </c>
      <c r="E46" s="5" t="s">
        <v>74</v>
      </c>
      <c r="F46" s="28">
        <v>2.1472999999999999E-2</v>
      </c>
      <c r="G46" s="28">
        <v>7.7108999999999997E-2</v>
      </c>
      <c r="H46" s="28">
        <v>1.2147E-2</v>
      </c>
      <c r="I46" s="28">
        <v>2.3807999999999999E-2</v>
      </c>
      <c r="J46" s="28">
        <v>6.3193549999999998</v>
      </c>
      <c r="K46" s="28">
        <v>-6.4219999999999999E-2</v>
      </c>
      <c r="L46" s="28">
        <v>0.155583</v>
      </c>
      <c r="M46" s="28">
        <v>4.3596999999999997E-2</v>
      </c>
      <c r="N46" s="28">
        <v>7.1550000000000002E-2</v>
      </c>
      <c r="O46" s="28">
        <v>0.12518599999999999</v>
      </c>
      <c r="P46" s="28">
        <v>4.4801000000000001E-2</v>
      </c>
      <c r="Q46" s="28">
        <v>7.332E-3</v>
      </c>
      <c r="R46" s="28">
        <v>0.57990399999999998</v>
      </c>
      <c r="S46" s="28">
        <v>1.3041000000000001E-2</v>
      </c>
    </row>
    <row r="47" spans="1:19" ht="15" x14ac:dyDescent="0.25">
      <c r="A47" s="4">
        <v>46</v>
      </c>
      <c r="B47" s="4">
        <v>8762482</v>
      </c>
      <c r="C47" s="5" t="s">
        <v>80</v>
      </c>
      <c r="D47" s="5" t="s">
        <v>81</v>
      </c>
      <c r="E47" s="5" t="s">
        <v>82</v>
      </c>
      <c r="F47" s="28">
        <v>5.1659999999999996E-3</v>
      </c>
      <c r="G47" s="28">
        <v>0.78870499999999999</v>
      </c>
      <c r="H47" s="28">
        <v>1.9276999999999999E-2</v>
      </c>
      <c r="I47" s="28">
        <v>3.7782000000000003E-2</v>
      </c>
      <c r="J47" s="28">
        <v>8.2595209999999994</v>
      </c>
      <c r="K47" s="28">
        <v>-6.1260000000000002E-2</v>
      </c>
      <c r="L47" s="28">
        <v>0.49627599999999999</v>
      </c>
      <c r="M47" s="28">
        <v>8.7989999999999999E-2</v>
      </c>
      <c r="N47" s="28">
        <v>7.8732999999999997E-2</v>
      </c>
      <c r="O47" s="28">
        <v>0.38520700000000002</v>
      </c>
      <c r="P47" s="28">
        <v>8.8189000000000003E-2</v>
      </c>
      <c r="Q47" s="28">
        <v>1.7472000000000001E-2</v>
      </c>
      <c r="R47" s="28">
        <v>0.54648399999999997</v>
      </c>
      <c r="S47" s="28">
        <v>2.8358000000000001E-2</v>
      </c>
    </row>
    <row r="48" spans="1:19" ht="15" x14ac:dyDescent="0.25">
      <c r="A48" s="4">
        <v>47</v>
      </c>
      <c r="B48" s="4">
        <v>8761724</v>
      </c>
      <c r="C48" s="5" t="s">
        <v>83</v>
      </c>
      <c r="D48" s="5" t="s">
        <v>81</v>
      </c>
      <c r="E48" s="5" t="s">
        <v>82</v>
      </c>
      <c r="F48" s="28">
        <v>4.1075E-2</v>
      </c>
      <c r="G48" s="28">
        <v>5.3010000000000002E-3</v>
      </c>
      <c r="H48" s="28">
        <v>1.4732E-2</v>
      </c>
      <c r="I48" s="28">
        <v>2.8875000000000001E-2</v>
      </c>
      <c r="J48" s="28">
        <v>9.2022890000000004</v>
      </c>
      <c r="K48" s="28">
        <v>-7.6520000000000005E-2</v>
      </c>
      <c r="L48" s="28">
        <v>0.25040600000000002</v>
      </c>
      <c r="M48" s="28">
        <v>6.4158999999999994E-2</v>
      </c>
      <c r="N48" s="28">
        <v>8.7939000000000003E-2</v>
      </c>
      <c r="O48" s="28">
        <v>0.17485600000000001</v>
      </c>
      <c r="P48" s="28">
        <v>6.1936999999999999E-2</v>
      </c>
      <c r="Q48" s="28">
        <v>1.1421000000000001E-2</v>
      </c>
      <c r="R48" s="28">
        <v>0.67549400000000004</v>
      </c>
      <c r="S48" s="28">
        <v>2.6783999999999999E-2</v>
      </c>
    </row>
    <row r="49" spans="1:19" ht="15" x14ac:dyDescent="0.25">
      <c r="A49" s="4">
        <v>48</v>
      </c>
      <c r="B49" s="4">
        <v>8768094</v>
      </c>
      <c r="C49" s="5" t="s">
        <v>84</v>
      </c>
      <c r="D49" s="5" t="s">
        <v>81</v>
      </c>
      <c r="E49" s="5" t="s">
        <v>82</v>
      </c>
      <c r="F49" s="28">
        <v>3.6655E-2</v>
      </c>
      <c r="G49" s="28">
        <v>0.26924199999999998</v>
      </c>
      <c r="H49" s="28">
        <v>3.3176999999999998E-2</v>
      </c>
      <c r="I49" s="28">
        <v>6.5027000000000001E-2</v>
      </c>
      <c r="J49" s="28">
        <v>6.5558920000000001</v>
      </c>
      <c r="K49" s="28">
        <v>-0.20547000000000001</v>
      </c>
      <c r="L49" s="28">
        <v>0.22135199999999999</v>
      </c>
      <c r="M49" s="28">
        <v>0.15994900000000001</v>
      </c>
      <c r="N49" s="28">
        <v>9.7173999999999996E-2</v>
      </c>
      <c r="O49" s="28">
        <v>0.42668</v>
      </c>
      <c r="P49" s="28">
        <v>0.118422</v>
      </c>
      <c r="Q49" s="28">
        <v>-0.10829999999999999</v>
      </c>
      <c r="R49" s="28">
        <v>0.22759699999999999</v>
      </c>
      <c r="S49" s="28">
        <v>8.5515999999999995E-2</v>
      </c>
    </row>
    <row r="50" spans="1:19" ht="15" x14ac:dyDescent="0.25">
      <c r="A50" s="4">
        <v>49</v>
      </c>
      <c r="B50" s="4">
        <v>8770475</v>
      </c>
      <c r="C50" s="5" t="s">
        <v>85</v>
      </c>
      <c r="D50" s="5" t="s">
        <v>86</v>
      </c>
      <c r="E50" s="5" t="s">
        <v>82</v>
      </c>
      <c r="F50" s="28">
        <v>-4.861E-2</v>
      </c>
      <c r="G50" s="28">
        <v>0.22753100000000001</v>
      </c>
      <c r="H50" s="28">
        <v>4.0285000000000001E-2</v>
      </c>
      <c r="I50" s="28">
        <v>7.8959000000000001E-2</v>
      </c>
      <c r="J50" s="28">
        <v>4.3877129999999998</v>
      </c>
      <c r="K50" s="28">
        <v>-0.16872000000000001</v>
      </c>
      <c r="L50" s="28">
        <v>0.285995</v>
      </c>
      <c r="M50" s="28">
        <v>0.15163399999999999</v>
      </c>
      <c r="N50" s="28">
        <v>-3.1189999999999999E-2</v>
      </c>
      <c r="O50" s="28">
        <v>0.81132000000000004</v>
      </c>
      <c r="P50" s="28">
        <v>0.128026</v>
      </c>
      <c r="Q50" s="28">
        <v>-0.19991</v>
      </c>
      <c r="R50" s="28">
        <v>3.7512999999999998E-2</v>
      </c>
      <c r="S50" s="28">
        <v>8.6309999999999998E-2</v>
      </c>
    </row>
    <row r="51" spans="1:19" ht="15" x14ac:dyDescent="0.25">
      <c r="A51" s="4">
        <v>50</v>
      </c>
      <c r="B51" s="4">
        <v>8770570</v>
      </c>
      <c r="C51" s="5" t="s">
        <v>87</v>
      </c>
      <c r="D51" s="5" t="s">
        <v>86</v>
      </c>
      <c r="E51" s="5" t="s">
        <v>82</v>
      </c>
      <c r="F51" s="28">
        <v>5.5724999999999997E-2</v>
      </c>
      <c r="G51" s="28">
        <v>8.0009999999999994E-3</v>
      </c>
      <c r="H51" s="28">
        <v>2.1011999999999999E-2</v>
      </c>
      <c r="I51" s="28">
        <v>4.1183999999999998E-2</v>
      </c>
      <c r="J51" s="28">
        <v>6.869129</v>
      </c>
      <c r="K51" s="28">
        <v>-0.13469</v>
      </c>
      <c r="L51" s="28">
        <v>5.0882999999999998E-2</v>
      </c>
      <c r="M51" s="28">
        <v>6.4385999999999999E-2</v>
      </c>
      <c r="N51" s="28">
        <v>0.159216</v>
      </c>
      <c r="O51" s="28">
        <v>2.3512000000000002E-2</v>
      </c>
      <c r="P51" s="28">
        <v>6.4338999999999993E-2</v>
      </c>
      <c r="Q51" s="28">
        <v>2.4521999999999999E-2</v>
      </c>
      <c r="R51" s="28">
        <v>0.34088299999999999</v>
      </c>
      <c r="S51" s="28">
        <v>2.5066000000000001E-2</v>
      </c>
    </row>
    <row r="52" spans="1:19" ht="15" x14ac:dyDescent="0.25">
      <c r="A52" s="4">
        <v>51</v>
      </c>
      <c r="B52" s="4">
        <v>8770971</v>
      </c>
      <c r="C52" s="5" t="s">
        <v>88</v>
      </c>
      <c r="D52" s="5" t="s">
        <v>86</v>
      </c>
      <c r="E52" s="5" t="s">
        <v>82</v>
      </c>
      <c r="F52" s="28">
        <v>4.8946999999999997E-2</v>
      </c>
      <c r="G52" s="28">
        <v>0.12339700000000001</v>
      </c>
      <c r="H52" s="28">
        <v>3.177E-2</v>
      </c>
      <c r="I52" s="28">
        <v>6.2268999999999998E-2</v>
      </c>
      <c r="J52" s="28">
        <v>0.95370600000000005</v>
      </c>
      <c r="K52" s="28">
        <v>4.3027000000000003E-2</v>
      </c>
      <c r="L52" s="28">
        <v>0.827546</v>
      </c>
      <c r="M52" s="28">
        <v>0.193243</v>
      </c>
      <c r="N52" s="28">
        <v>-3.1900000000000001E-3</v>
      </c>
      <c r="O52" s="28">
        <v>0.98647399999999996</v>
      </c>
      <c r="P52" s="28">
        <v>0.18437799999999999</v>
      </c>
      <c r="Q52" s="28">
        <v>3.9836000000000003E-2</v>
      </c>
      <c r="R52" s="28">
        <v>0.32517299999999999</v>
      </c>
      <c r="S52" s="28">
        <v>3.8830000000000003E-2</v>
      </c>
    </row>
    <row r="53" spans="1:19" ht="15" x14ac:dyDescent="0.25">
      <c r="A53" s="4">
        <v>52</v>
      </c>
      <c r="B53" s="4">
        <v>8771341</v>
      </c>
      <c r="C53" s="5" t="s">
        <v>89</v>
      </c>
      <c r="D53" s="5" t="s">
        <v>86</v>
      </c>
      <c r="E53" s="5" t="s">
        <v>82</v>
      </c>
      <c r="F53" s="28">
        <v>3.4521999999999997E-2</v>
      </c>
      <c r="G53" s="28">
        <v>2.5020000000000001E-2</v>
      </c>
      <c r="H53" s="28">
        <v>1.5403999999999999E-2</v>
      </c>
      <c r="I53" s="28">
        <v>3.0192E-2</v>
      </c>
      <c r="J53" s="28">
        <v>6.5582960000000003</v>
      </c>
      <c r="K53" s="28">
        <v>3.7148E-2</v>
      </c>
      <c r="L53" s="28">
        <v>0.63400999999999996</v>
      </c>
      <c r="M53" s="28">
        <v>7.6441999999999996E-2</v>
      </c>
      <c r="N53" s="28">
        <v>-3.2579999999999998E-2</v>
      </c>
      <c r="O53" s="28">
        <v>0.64183800000000002</v>
      </c>
      <c r="P53" s="28">
        <v>6.8624000000000004E-2</v>
      </c>
      <c r="Q53" s="28">
        <v>4.5719999999999997E-3</v>
      </c>
      <c r="R53" s="28">
        <v>0.85635399999999995</v>
      </c>
      <c r="S53" s="28">
        <v>2.4827999999999999E-2</v>
      </c>
    </row>
    <row r="54" spans="1:19" ht="15" x14ac:dyDescent="0.25">
      <c r="A54" s="4">
        <v>53</v>
      </c>
      <c r="B54" s="4">
        <v>8771450</v>
      </c>
      <c r="C54" s="5" t="s">
        <v>90</v>
      </c>
      <c r="D54" s="5" t="s">
        <v>86</v>
      </c>
      <c r="E54" s="5" t="s">
        <v>82</v>
      </c>
      <c r="F54" s="28">
        <v>5.5438000000000001E-2</v>
      </c>
      <c r="G54" s="28">
        <v>1.5169999999999999E-3</v>
      </c>
      <c r="H54" s="28">
        <v>1.7481E-2</v>
      </c>
      <c r="I54" s="28">
        <v>3.4263000000000002E-2</v>
      </c>
      <c r="J54" s="28">
        <v>8.1261039999999998</v>
      </c>
      <c r="K54" s="28">
        <v>-8.2890000000000005E-2</v>
      </c>
      <c r="L54" s="28">
        <v>0.21748100000000001</v>
      </c>
      <c r="M54" s="28">
        <v>6.5196000000000004E-2</v>
      </c>
      <c r="N54" s="28">
        <v>0.165493</v>
      </c>
      <c r="O54" s="28">
        <v>5.2430000000000003E-3</v>
      </c>
      <c r="P54" s="28">
        <v>5.3134000000000001E-2</v>
      </c>
      <c r="Q54" s="28">
        <v>8.2601999999999995E-2</v>
      </c>
      <c r="R54" s="28">
        <v>7.6515E-2</v>
      </c>
      <c r="S54" s="28">
        <v>4.4339000000000003E-2</v>
      </c>
    </row>
    <row r="55" spans="1:19" ht="15" x14ac:dyDescent="0.25">
      <c r="A55" s="4">
        <v>54</v>
      </c>
      <c r="B55" s="4">
        <v>8775870</v>
      </c>
      <c r="C55" s="5" t="s">
        <v>91</v>
      </c>
      <c r="D55" s="5" t="s">
        <v>86</v>
      </c>
      <c r="E55" s="5" t="s">
        <v>82</v>
      </c>
      <c r="F55" s="28">
        <v>5.6984E-2</v>
      </c>
      <c r="G55" s="28">
        <v>2.7409999999999999E-3</v>
      </c>
      <c r="H55" s="28">
        <v>1.9023999999999999E-2</v>
      </c>
      <c r="I55" s="28">
        <v>3.7287000000000001E-2</v>
      </c>
      <c r="J55" s="28">
        <v>6.3683019999999999</v>
      </c>
      <c r="K55" s="28">
        <v>-2.48E-3</v>
      </c>
      <c r="L55" s="28">
        <v>0.96542300000000003</v>
      </c>
      <c r="M55" s="28">
        <v>5.6561E-2</v>
      </c>
      <c r="N55" s="28">
        <v>8.0522999999999997E-2</v>
      </c>
      <c r="O55" s="28">
        <v>0.15429999999999999</v>
      </c>
      <c r="P55" s="28">
        <v>5.4664999999999998E-2</v>
      </c>
      <c r="Q55" s="28">
        <v>7.8044000000000002E-2</v>
      </c>
      <c r="R55" s="28">
        <v>0.13003500000000001</v>
      </c>
      <c r="S55" s="28">
        <v>4.9704999999999999E-2</v>
      </c>
    </row>
    <row r="56" spans="1:19" ht="15" x14ac:dyDescent="0.25">
      <c r="A56" s="4">
        <v>55</v>
      </c>
      <c r="B56" s="4">
        <v>8776604</v>
      </c>
      <c r="C56" s="5" t="s">
        <v>92</v>
      </c>
      <c r="D56" s="5" t="s">
        <v>86</v>
      </c>
      <c r="E56" s="5" t="s">
        <v>82</v>
      </c>
      <c r="F56" s="28">
        <v>2.5274000000000001E-2</v>
      </c>
      <c r="G56" s="28">
        <v>0.61722999999999995</v>
      </c>
      <c r="H56" s="28">
        <v>5.0569999999999997E-2</v>
      </c>
      <c r="I56" s="28">
        <v>9.9117999999999998E-2</v>
      </c>
      <c r="J56" s="28">
        <v>6.9915799999999999</v>
      </c>
      <c r="K56" s="28">
        <v>-0.20535999999999999</v>
      </c>
      <c r="L56" s="28">
        <v>0.31656499999999999</v>
      </c>
      <c r="M56" s="28">
        <v>0.197156</v>
      </c>
      <c r="N56" s="28">
        <v>2.8077000000000001E-2</v>
      </c>
      <c r="O56" s="28">
        <v>0.847499</v>
      </c>
      <c r="P56" s="28">
        <v>0.14311599999999999</v>
      </c>
      <c r="Q56" s="28">
        <v>-0.17729</v>
      </c>
      <c r="R56" s="28">
        <v>0.21010000000000001</v>
      </c>
      <c r="S56" s="28">
        <v>0.134464</v>
      </c>
    </row>
    <row r="57" spans="1:19" ht="15" x14ac:dyDescent="0.25">
      <c r="A57" s="4">
        <v>56</v>
      </c>
      <c r="B57" s="4">
        <v>9755371</v>
      </c>
      <c r="C57" s="5" t="s">
        <v>93</v>
      </c>
      <c r="D57" s="5" t="s">
        <v>94</v>
      </c>
      <c r="E57" s="5" t="s">
        <v>95</v>
      </c>
      <c r="F57" s="28">
        <v>3.6619999999999999E-3</v>
      </c>
      <c r="G57" s="28">
        <v>0.576187</v>
      </c>
      <c r="H57" s="28">
        <v>6.5519999999999997E-3</v>
      </c>
      <c r="I57" s="28">
        <v>1.2841E-2</v>
      </c>
      <c r="J57" s="28">
        <v>2.8858290000000002</v>
      </c>
      <c r="K57" s="28">
        <v>-1.686E-2</v>
      </c>
      <c r="L57" s="28">
        <v>0.36454900000000001</v>
      </c>
      <c r="M57" s="28">
        <v>1.8242000000000001E-2</v>
      </c>
      <c r="N57" s="28">
        <v>1.4652999999999999E-2</v>
      </c>
      <c r="O57" s="28">
        <v>0.42851499999999998</v>
      </c>
      <c r="P57" s="28">
        <v>1.8194999999999999E-2</v>
      </c>
      <c r="Q57" s="28">
        <v>-2.2100000000000002E-3</v>
      </c>
      <c r="R57" s="28">
        <v>0.90687399999999996</v>
      </c>
      <c r="S57" s="28">
        <v>1.8669999999999999E-2</v>
      </c>
    </row>
    <row r="58" spans="1:19" ht="15" x14ac:dyDescent="0.25">
      <c r="A58" s="4">
        <v>57</v>
      </c>
      <c r="B58" s="4">
        <v>9751401</v>
      </c>
      <c r="C58" s="5" t="s">
        <v>96</v>
      </c>
      <c r="D58" s="5" t="s">
        <v>97</v>
      </c>
      <c r="E58" s="5" t="s">
        <v>95</v>
      </c>
      <c r="F58" s="28">
        <v>1.6806000000000001E-2</v>
      </c>
      <c r="G58" s="28">
        <v>9.1453000000000007E-2</v>
      </c>
      <c r="H58" s="28">
        <v>9.9570000000000006E-3</v>
      </c>
      <c r="I58" s="28">
        <v>1.9517E-2</v>
      </c>
      <c r="J58" s="28">
        <v>3.1505809999999999</v>
      </c>
      <c r="K58" s="28">
        <v>-4.0600000000000002E-3</v>
      </c>
      <c r="L58" s="28">
        <v>0.85206999999999999</v>
      </c>
      <c r="M58" s="28">
        <v>2.1458000000000001E-2</v>
      </c>
      <c r="N58" s="28">
        <v>3.1909E-2</v>
      </c>
      <c r="O58" s="28">
        <v>9.7347000000000003E-2</v>
      </c>
      <c r="P58" s="28">
        <v>1.8297999999999998E-2</v>
      </c>
      <c r="Q58" s="28">
        <v>2.7851999999999998E-2</v>
      </c>
      <c r="R58" s="28">
        <v>1.9837E-2</v>
      </c>
      <c r="S58" s="28">
        <v>1.0951000000000001E-2</v>
      </c>
    </row>
    <row r="59" spans="1:19" ht="15" x14ac:dyDescent="0.25">
      <c r="A59" s="11">
        <v>58</v>
      </c>
      <c r="B59" s="11">
        <v>9075099</v>
      </c>
      <c r="C59" s="12" t="s">
        <v>98</v>
      </c>
      <c r="D59" s="12" t="s">
        <v>99</v>
      </c>
      <c r="E59" s="12" t="s">
        <v>100</v>
      </c>
      <c r="F59" s="28">
        <v>5.7670000000000004E-3</v>
      </c>
      <c r="G59" s="28">
        <v>0.78077600000000003</v>
      </c>
      <c r="H59" s="28">
        <v>2.0721E-2</v>
      </c>
      <c r="I59" s="28">
        <v>4.0613999999999997E-2</v>
      </c>
      <c r="J59" s="28">
        <v>7.3493329999999997</v>
      </c>
      <c r="K59" s="28">
        <v>-6.4099999999999999E-3</v>
      </c>
      <c r="L59" s="28">
        <v>0.91361300000000001</v>
      </c>
      <c r="M59" s="28">
        <v>5.8342999999999999E-2</v>
      </c>
      <c r="N59" s="28">
        <v>-1.3509999999999999E-2</v>
      </c>
      <c r="O59" s="28">
        <v>0.14823800000000001</v>
      </c>
      <c r="P59" s="28">
        <v>8.9669999999999993E-3</v>
      </c>
      <c r="Q59" s="28">
        <v>-1.993E-2</v>
      </c>
      <c r="R59" s="28">
        <v>0.73880699999999999</v>
      </c>
      <c r="S59" s="28">
        <v>5.8895999999999997E-2</v>
      </c>
    </row>
    <row r="60" spans="1:19" ht="15" x14ac:dyDescent="0.25">
      <c r="A60" s="11">
        <v>59</v>
      </c>
      <c r="B60" s="11">
        <v>9075014</v>
      </c>
      <c r="C60" s="12" t="s">
        <v>101</v>
      </c>
      <c r="D60" s="12" t="s">
        <v>99</v>
      </c>
      <c r="E60" s="12" t="s">
        <v>100</v>
      </c>
      <c r="F60" s="28">
        <v>-4.5599999999999998E-3</v>
      </c>
      <c r="G60" s="28">
        <v>0.86395999999999995</v>
      </c>
      <c r="H60" s="28">
        <v>2.6638999999999999E-2</v>
      </c>
      <c r="I60" s="28">
        <v>5.2212000000000001E-2</v>
      </c>
      <c r="J60" s="28">
        <v>9.018421</v>
      </c>
      <c r="K60" s="28">
        <v>-2.9250000000000002E-2</v>
      </c>
      <c r="L60" s="28">
        <v>0.58313000000000004</v>
      </c>
      <c r="M60" s="28">
        <v>5.2380000000000003E-2</v>
      </c>
      <c r="N60" s="28">
        <v>2.1651E-2</v>
      </c>
      <c r="O60" s="28">
        <v>6.7492999999999997E-2</v>
      </c>
      <c r="P60" s="28">
        <v>1.1166000000000001E-2</v>
      </c>
      <c r="Q60" s="28">
        <v>-7.5900000000000004E-3</v>
      </c>
      <c r="R60" s="28">
        <v>0.88259100000000001</v>
      </c>
      <c r="S60" s="28">
        <v>5.0738999999999999E-2</v>
      </c>
    </row>
    <row r="61" spans="1:19" ht="15" x14ac:dyDescent="0.25">
      <c r="A61" s="11">
        <v>60</v>
      </c>
      <c r="B61" s="11">
        <v>9063079</v>
      </c>
      <c r="C61" s="12" t="s">
        <v>102</v>
      </c>
      <c r="D61" s="12" t="s">
        <v>103</v>
      </c>
      <c r="E61" s="12" t="s">
        <v>100</v>
      </c>
      <c r="F61" s="28">
        <v>6.2755000000000005E-2</v>
      </c>
      <c r="G61" s="28">
        <v>1.8165000000000001E-2</v>
      </c>
      <c r="H61" s="28">
        <v>2.6565999999999999E-2</v>
      </c>
      <c r="I61" s="28">
        <v>5.2069999999999998E-2</v>
      </c>
      <c r="J61" s="28">
        <v>7.7556630000000002</v>
      </c>
      <c r="K61" s="28">
        <v>-3.4090000000000002E-2</v>
      </c>
      <c r="L61" s="28">
        <v>0.44317099999999998</v>
      </c>
      <c r="M61" s="28">
        <v>4.3422000000000002E-2</v>
      </c>
      <c r="N61" s="28">
        <v>3.5069000000000003E-2</v>
      </c>
      <c r="O61" s="28">
        <v>6.5124000000000001E-2</v>
      </c>
      <c r="P61" s="28">
        <v>1.7784999999999999E-2</v>
      </c>
      <c r="Q61" s="28">
        <v>9.77E-4</v>
      </c>
      <c r="R61" s="28">
        <v>0.98294700000000002</v>
      </c>
      <c r="S61" s="28">
        <v>4.5023000000000001E-2</v>
      </c>
    </row>
    <row r="62" spans="1:19" ht="15" x14ac:dyDescent="0.25">
      <c r="A62" s="11">
        <v>61</v>
      </c>
      <c r="B62" s="11">
        <v>9063063</v>
      </c>
      <c r="C62" s="12" t="s">
        <v>104</v>
      </c>
      <c r="D62" s="12" t="s">
        <v>103</v>
      </c>
      <c r="E62" s="12" t="s">
        <v>100</v>
      </c>
      <c r="F62" s="28">
        <v>-4.6600000000000001E-3</v>
      </c>
      <c r="G62" s="28">
        <v>0.82095200000000002</v>
      </c>
      <c r="H62" s="28">
        <v>2.0608000000000001E-2</v>
      </c>
      <c r="I62" s="28">
        <v>4.0391000000000003E-2</v>
      </c>
      <c r="J62" s="28">
        <v>8.3473210000000009</v>
      </c>
      <c r="K62" s="28">
        <v>-1.3950000000000001E-2</v>
      </c>
      <c r="L62" s="28">
        <v>0.89562299999999995</v>
      </c>
      <c r="M62" s="28">
        <v>0.10457</v>
      </c>
      <c r="N62" s="28">
        <v>6.0750999999999999E-2</v>
      </c>
      <c r="O62" s="28">
        <v>7.3010000000000005E-2</v>
      </c>
      <c r="P62" s="28">
        <v>3.1510000000000003E-2</v>
      </c>
      <c r="Q62" s="28">
        <v>4.6796999999999998E-2</v>
      </c>
      <c r="R62" s="28">
        <v>0.63487099999999996</v>
      </c>
      <c r="S62" s="28">
        <v>9.6544000000000005E-2</v>
      </c>
    </row>
    <row r="63" spans="1:19" ht="15" x14ac:dyDescent="0.25">
      <c r="A63" s="11">
        <v>62</v>
      </c>
      <c r="B63" s="11">
        <v>9063020</v>
      </c>
      <c r="C63" s="12" t="s">
        <v>105</v>
      </c>
      <c r="D63" s="12" t="s">
        <v>36</v>
      </c>
      <c r="E63" s="12" t="s">
        <v>100</v>
      </c>
      <c r="F63" s="28">
        <v>5.5147000000000002E-2</v>
      </c>
      <c r="G63" s="28">
        <v>6.4339999999999996E-3</v>
      </c>
      <c r="H63" s="28">
        <v>2.0239E-2</v>
      </c>
      <c r="I63" s="28">
        <v>3.9669000000000003E-2</v>
      </c>
      <c r="J63" s="28">
        <v>7.516985</v>
      </c>
      <c r="K63" s="28">
        <v>-6.1599999999999997E-3</v>
      </c>
      <c r="L63" s="28">
        <v>0.87132500000000002</v>
      </c>
      <c r="M63" s="28">
        <v>3.7470999999999997E-2</v>
      </c>
      <c r="N63" s="28">
        <v>1.6577999999999999E-2</v>
      </c>
      <c r="O63" s="28">
        <v>0.34359200000000001</v>
      </c>
      <c r="P63" s="28">
        <v>1.7016E-2</v>
      </c>
      <c r="Q63" s="28">
        <v>1.0416E-2</v>
      </c>
      <c r="R63" s="28">
        <v>0.77204899999999999</v>
      </c>
      <c r="S63" s="28">
        <v>3.5386000000000001E-2</v>
      </c>
    </row>
    <row r="64" spans="1:19" ht="15" x14ac:dyDescent="0.25">
      <c r="A64" s="14">
        <v>63</v>
      </c>
      <c r="B64" s="14">
        <v>9459450</v>
      </c>
      <c r="C64" s="15" t="s">
        <v>106</v>
      </c>
      <c r="D64" s="15" t="s">
        <v>107</v>
      </c>
      <c r="E64" s="15" t="s">
        <v>108</v>
      </c>
      <c r="F64" s="28">
        <v>3.3536000000000003E-2</v>
      </c>
      <c r="G64" s="28">
        <v>0.115217</v>
      </c>
      <c r="H64" s="28">
        <v>2.129E-2</v>
      </c>
      <c r="I64" s="28">
        <v>4.1729000000000002E-2</v>
      </c>
      <c r="J64" s="28">
        <v>4.2273170000000002</v>
      </c>
      <c r="K64" s="28">
        <v>-2.6040000000000001E-2</v>
      </c>
      <c r="L64" s="28">
        <v>0.24005799999999999</v>
      </c>
      <c r="M64" s="28">
        <v>2.1537000000000001E-2</v>
      </c>
      <c r="N64" s="28">
        <v>5.5191999999999998E-2</v>
      </c>
      <c r="O64" s="28">
        <v>4.7376000000000001E-2</v>
      </c>
      <c r="P64" s="28">
        <v>2.6203000000000001E-2</v>
      </c>
      <c r="Q64" s="28">
        <v>2.9152000000000001E-2</v>
      </c>
      <c r="R64" s="28">
        <v>0.22889599999999999</v>
      </c>
      <c r="S64" s="28">
        <v>2.3522000000000001E-2</v>
      </c>
    </row>
    <row r="65" spans="1:19" ht="15" x14ac:dyDescent="0.25">
      <c r="A65" s="14">
        <v>64</v>
      </c>
      <c r="B65" s="14">
        <v>9455920</v>
      </c>
      <c r="C65" s="15" t="s">
        <v>109</v>
      </c>
      <c r="D65" s="15" t="s">
        <v>107</v>
      </c>
      <c r="E65" s="15" t="s">
        <v>108</v>
      </c>
      <c r="F65" s="28">
        <v>7.7200000000000003E-3</v>
      </c>
      <c r="G65" s="28">
        <v>0.50865499999999997</v>
      </c>
      <c r="H65" s="28">
        <v>1.1681E-2</v>
      </c>
      <c r="I65" s="28">
        <v>2.2894000000000001E-2</v>
      </c>
      <c r="J65" s="28">
        <v>-1.99596</v>
      </c>
      <c r="K65" s="28">
        <v>2.666E-2</v>
      </c>
      <c r="L65" s="28">
        <v>0.17679700000000001</v>
      </c>
      <c r="M65" s="28">
        <v>1.9132E-2</v>
      </c>
      <c r="N65" s="28">
        <v>1.4938E-2</v>
      </c>
      <c r="O65" s="28">
        <v>0.12521099999999999</v>
      </c>
      <c r="P65" s="28">
        <v>9.3880000000000005E-3</v>
      </c>
      <c r="Q65" s="28">
        <v>4.1598000000000003E-2</v>
      </c>
      <c r="R65" s="28">
        <v>7.2926000000000005E-2</v>
      </c>
      <c r="S65" s="28">
        <v>2.2134000000000001E-2</v>
      </c>
    </row>
    <row r="66" spans="1:19" ht="15" x14ac:dyDescent="0.25">
      <c r="A66" s="14">
        <v>65</v>
      </c>
      <c r="B66" s="14">
        <v>9455500</v>
      </c>
      <c r="C66" s="15" t="s">
        <v>110</v>
      </c>
      <c r="D66" s="15" t="s">
        <v>107</v>
      </c>
      <c r="E66" s="15" t="s">
        <v>108</v>
      </c>
      <c r="F66" s="28">
        <v>2.4910999999999999E-2</v>
      </c>
      <c r="G66" s="28">
        <v>4.9215000000000002E-2</v>
      </c>
      <c r="H66" s="28">
        <v>1.2666E-2</v>
      </c>
      <c r="I66" s="28">
        <v>2.4826000000000001E-2</v>
      </c>
      <c r="J66" s="28">
        <v>-7.8430299999999997</v>
      </c>
      <c r="K66" s="28">
        <v>-3.7929999999999998E-2</v>
      </c>
      <c r="L66" s="28">
        <v>0.15933800000000001</v>
      </c>
      <c r="M66" s="28">
        <v>2.6113000000000001E-2</v>
      </c>
      <c r="N66" s="28">
        <v>6.0789999999999997E-2</v>
      </c>
      <c r="O66" s="28">
        <v>1.9859000000000002E-2</v>
      </c>
      <c r="P66" s="28">
        <v>2.4361000000000001E-2</v>
      </c>
      <c r="Q66" s="28">
        <v>2.2863000000000001E-2</v>
      </c>
      <c r="R66" s="28">
        <v>0.18323800000000001</v>
      </c>
      <c r="S66" s="28">
        <v>1.6683E-2</v>
      </c>
    </row>
    <row r="67" spans="1:19" ht="15" x14ac:dyDescent="0.25">
      <c r="A67" s="14">
        <v>66</v>
      </c>
      <c r="B67" s="14">
        <v>9454240</v>
      </c>
      <c r="C67" s="15" t="s">
        <v>111</v>
      </c>
      <c r="D67" s="15" t="s">
        <v>107</v>
      </c>
      <c r="E67" s="15" t="s">
        <v>108</v>
      </c>
      <c r="F67" s="28">
        <v>2.7276000000000002E-2</v>
      </c>
      <c r="G67" s="28">
        <v>1.7458000000000001E-2</v>
      </c>
      <c r="H67" s="28">
        <v>1.1475000000000001E-2</v>
      </c>
      <c r="I67" s="28">
        <v>2.2492000000000002E-2</v>
      </c>
      <c r="J67" s="28">
        <v>-9.2909699999999997</v>
      </c>
      <c r="K67" s="28">
        <v>-9.9000000000000008E-3</v>
      </c>
      <c r="L67" s="28">
        <v>0.69119600000000003</v>
      </c>
      <c r="M67" s="28">
        <v>2.4603E-2</v>
      </c>
      <c r="N67" s="28">
        <v>3.8314000000000001E-2</v>
      </c>
      <c r="O67" s="28">
        <v>9.7945000000000004E-2</v>
      </c>
      <c r="P67" s="28">
        <v>2.2211000000000002E-2</v>
      </c>
      <c r="Q67" s="28">
        <v>2.8416E-2</v>
      </c>
      <c r="R67" s="28">
        <v>0.22265499999999999</v>
      </c>
      <c r="S67" s="28">
        <v>2.2672000000000001E-2</v>
      </c>
    </row>
    <row r="68" spans="1:19" ht="15" x14ac:dyDescent="0.25">
      <c r="A68" s="14">
        <v>67</v>
      </c>
      <c r="B68" s="14">
        <v>9455090</v>
      </c>
      <c r="C68" s="15" t="s">
        <v>112</v>
      </c>
      <c r="D68" s="15" t="s">
        <v>107</v>
      </c>
      <c r="E68" s="15" t="s">
        <v>108</v>
      </c>
      <c r="F68" s="28">
        <v>2.6006999999999999E-2</v>
      </c>
      <c r="G68" s="28">
        <v>3.8612E-2</v>
      </c>
      <c r="H68" s="28">
        <v>1.2574E-2</v>
      </c>
      <c r="I68" s="28">
        <v>2.4645E-2</v>
      </c>
      <c r="J68" s="28">
        <v>-4.4255599999999999</v>
      </c>
      <c r="K68" s="28">
        <v>-1.4999999999999999E-4</v>
      </c>
      <c r="L68" s="28">
        <v>0.99399499999999996</v>
      </c>
      <c r="M68" s="28">
        <v>1.9123999999999999E-2</v>
      </c>
      <c r="N68" s="28">
        <v>2.4222E-2</v>
      </c>
      <c r="O68" s="28">
        <v>0.18385699999999999</v>
      </c>
      <c r="P68" s="28">
        <v>1.7741E-2</v>
      </c>
      <c r="Q68" s="28">
        <v>2.4077000000000001E-2</v>
      </c>
      <c r="R68" s="28">
        <v>0.30432700000000001</v>
      </c>
      <c r="S68" s="28">
        <v>2.2976E-2</v>
      </c>
    </row>
    <row r="69" spans="1:19" ht="15" x14ac:dyDescent="0.25">
      <c r="A69" s="14">
        <v>68</v>
      </c>
      <c r="B69" s="14">
        <v>9453220</v>
      </c>
      <c r="C69" s="15" t="s">
        <v>113</v>
      </c>
      <c r="D69" s="15" t="s">
        <v>107</v>
      </c>
      <c r="E69" s="15" t="s">
        <v>108</v>
      </c>
      <c r="F69" s="28">
        <v>1.4583E-2</v>
      </c>
      <c r="G69" s="28">
        <v>0.23402100000000001</v>
      </c>
      <c r="H69" s="28">
        <v>1.2253999999999999E-2</v>
      </c>
      <c r="I69" s="28">
        <v>2.4017E-2</v>
      </c>
      <c r="J69" s="28">
        <v>-16.514500000000002</v>
      </c>
      <c r="K69" s="28">
        <v>8.5079999999999999E-3</v>
      </c>
      <c r="L69" s="28">
        <v>0.69961700000000004</v>
      </c>
      <c r="M69" s="28">
        <v>2.1798000000000001E-2</v>
      </c>
      <c r="N69" s="28">
        <v>1.5332E-2</v>
      </c>
      <c r="O69" s="28">
        <v>0.36575000000000002</v>
      </c>
      <c r="P69" s="28">
        <v>1.6643999999999999E-2</v>
      </c>
      <c r="Q69" s="28">
        <v>2.384E-2</v>
      </c>
      <c r="R69" s="28">
        <v>0.24824199999999999</v>
      </c>
      <c r="S69" s="28">
        <v>2.0166E-2</v>
      </c>
    </row>
    <row r="70" spans="1:19" ht="15" x14ac:dyDescent="0.25">
      <c r="A70" s="14">
        <v>69</v>
      </c>
      <c r="B70" s="14">
        <v>9452210</v>
      </c>
      <c r="C70" s="15" t="s">
        <v>114</v>
      </c>
      <c r="D70" s="15" t="s">
        <v>107</v>
      </c>
      <c r="E70" s="15" t="s">
        <v>108</v>
      </c>
      <c r="F70" s="28">
        <v>7.0619999999999997E-3</v>
      </c>
      <c r="G70" s="28">
        <v>0.55264400000000002</v>
      </c>
      <c r="H70" s="28">
        <v>1.1893000000000001E-2</v>
      </c>
      <c r="I70" s="28">
        <v>2.3310000000000001E-2</v>
      </c>
      <c r="J70" s="28">
        <v>-15.376200000000001</v>
      </c>
      <c r="K70" s="28">
        <v>-5.2060000000000002E-2</v>
      </c>
      <c r="L70" s="28">
        <v>6.2733999999999998E-2</v>
      </c>
      <c r="M70" s="28">
        <v>2.6241E-2</v>
      </c>
      <c r="N70" s="28">
        <v>3.0488999999999999E-2</v>
      </c>
      <c r="O70" s="28">
        <v>0.20725499999999999</v>
      </c>
      <c r="P70" s="28">
        <v>2.3306E-2</v>
      </c>
      <c r="Q70" s="28">
        <v>-2.1569999999999999E-2</v>
      </c>
      <c r="R70" s="28">
        <v>0.242449</v>
      </c>
      <c r="S70" s="28">
        <v>1.7846999999999998E-2</v>
      </c>
    </row>
    <row r="71" spans="1:19" ht="15" x14ac:dyDescent="0.25">
      <c r="A71" s="14">
        <v>70</v>
      </c>
      <c r="B71" s="14">
        <v>9451600</v>
      </c>
      <c r="C71" s="15" t="s">
        <v>115</v>
      </c>
      <c r="D71" s="15" t="s">
        <v>107</v>
      </c>
      <c r="E71" s="15" t="s">
        <v>108</v>
      </c>
      <c r="F71" s="28">
        <v>2.5354000000000002E-2</v>
      </c>
      <c r="G71" s="28">
        <v>7.6360999999999998E-2</v>
      </c>
      <c r="H71" s="28">
        <v>1.4305999999999999E-2</v>
      </c>
      <c r="I71" s="28">
        <v>2.8039999999999999E-2</v>
      </c>
      <c r="J71" s="28">
        <v>-4.0074899999999998</v>
      </c>
      <c r="K71" s="28">
        <v>2.1141E-2</v>
      </c>
      <c r="L71" s="28">
        <v>0.44514199999999998</v>
      </c>
      <c r="M71" s="28">
        <v>2.7212E-2</v>
      </c>
      <c r="N71" s="28">
        <v>1.7735999999999998E-2</v>
      </c>
      <c r="O71" s="28">
        <v>0.31862699999999999</v>
      </c>
      <c r="P71" s="28">
        <v>1.7399000000000001E-2</v>
      </c>
      <c r="Q71" s="28">
        <v>3.8877000000000002E-2</v>
      </c>
      <c r="R71" s="28">
        <v>0.146589</v>
      </c>
      <c r="S71" s="28">
        <v>2.5876E-2</v>
      </c>
    </row>
    <row r="72" spans="1:19" ht="15" x14ac:dyDescent="0.25">
      <c r="A72" s="14">
        <v>71</v>
      </c>
      <c r="B72" s="14">
        <v>9450460</v>
      </c>
      <c r="C72" s="15" t="s">
        <v>116</v>
      </c>
      <c r="D72" s="15" t="s">
        <v>107</v>
      </c>
      <c r="E72" s="15" t="s">
        <v>108</v>
      </c>
      <c r="F72" s="28">
        <v>1.4344000000000001E-2</v>
      </c>
      <c r="G72" s="28">
        <v>8.3241999999999997E-2</v>
      </c>
      <c r="H72" s="28">
        <v>8.2810000000000002E-3</v>
      </c>
      <c r="I72" s="28">
        <v>1.6230000000000001E-2</v>
      </c>
      <c r="J72" s="28">
        <v>-1.15812</v>
      </c>
      <c r="K72" s="28">
        <v>2.4892999999999998E-2</v>
      </c>
      <c r="L72" s="28">
        <v>0.28587200000000001</v>
      </c>
      <c r="M72" s="28">
        <v>2.2806E-2</v>
      </c>
      <c r="N72" s="28">
        <v>3.0490000000000001E-3</v>
      </c>
      <c r="O72" s="28">
        <v>0.82681700000000002</v>
      </c>
      <c r="P72" s="28">
        <v>1.3787000000000001E-2</v>
      </c>
      <c r="Q72" s="28">
        <v>2.7942999999999999E-2</v>
      </c>
      <c r="R72" s="28">
        <v>0.153701</v>
      </c>
      <c r="S72" s="28">
        <v>1.8967999999999999E-2</v>
      </c>
    </row>
    <row r="73" spans="1:19" ht="15" x14ac:dyDescent="0.25">
      <c r="A73" s="14">
        <v>72</v>
      </c>
      <c r="B73" s="14">
        <v>9449880</v>
      </c>
      <c r="C73" s="15" t="s">
        <v>117</v>
      </c>
      <c r="D73" s="15" t="s">
        <v>118</v>
      </c>
      <c r="E73" s="15" t="s">
        <v>119</v>
      </c>
      <c r="F73" s="28">
        <v>-3.9399999999999999E-3</v>
      </c>
      <c r="G73" s="28">
        <v>0.54554000000000002</v>
      </c>
      <c r="H73" s="28">
        <v>6.5189999999999996E-3</v>
      </c>
      <c r="I73" s="28">
        <v>1.2777E-2</v>
      </c>
      <c r="J73" s="28">
        <v>1.1729689999999999</v>
      </c>
      <c r="K73" s="28">
        <v>3.4625000000000003E-2</v>
      </c>
      <c r="L73" s="28">
        <v>2.2610000000000002E-2</v>
      </c>
      <c r="M73" s="28">
        <v>1.4249E-2</v>
      </c>
      <c r="N73" s="28">
        <v>-6.0499999999999998E-3</v>
      </c>
      <c r="O73" s="28">
        <v>0.52906900000000001</v>
      </c>
      <c r="P73" s="28">
        <v>9.4769999999999993E-3</v>
      </c>
      <c r="Q73" s="28">
        <v>2.8576000000000001E-2</v>
      </c>
      <c r="R73" s="28">
        <v>5.3080000000000002E-2</v>
      </c>
      <c r="S73" s="28">
        <v>1.4074E-2</v>
      </c>
    </row>
    <row r="74" spans="1:19" ht="15" x14ac:dyDescent="0.25">
      <c r="A74" s="14">
        <v>73</v>
      </c>
      <c r="B74" s="14">
        <v>9444090</v>
      </c>
      <c r="C74" s="15" t="s">
        <v>120</v>
      </c>
      <c r="D74" s="15" t="s">
        <v>118</v>
      </c>
      <c r="E74" s="15" t="s">
        <v>119</v>
      </c>
      <c r="F74" s="28">
        <v>7.254E-3</v>
      </c>
      <c r="G74" s="28">
        <v>0.51968700000000001</v>
      </c>
      <c r="H74" s="28">
        <v>1.1266999999999999E-2</v>
      </c>
      <c r="I74" s="28">
        <v>2.2082999999999998E-2</v>
      </c>
      <c r="J74" s="28">
        <v>0.17192399999999999</v>
      </c>
      <c r="K74" s="28">
        <v>2.7555E-2</v>
      </c>
      <c r="L74" s="28">
        <v>0.16331699999999999</v>
      </c>
      <c r="M74" s="28">
        <v>1.9161000000000001E-2</v>
      </c>
      <c r="N74" s="28">
        <v>5.385E-3</v>
      </c>
      <c r="O74" s="28">
        <v>0.73921300000000001</v>
      </c>
      <c r="P74" s="28">
        <v>1.5989E-2</v>
      </c>
      <c r="Q74" s="28">
        <v>3.2939999999999997E-2</v>
      </c>
      <c r="R74" s="28">
        <v>4.6709000000000001E-2</v>
      </c>
      <c r="S74" s="28">
        <v>1.5708E-2</v>
      </c>
    </row>
    <row r="75" spans="1:19" ht="15" x14ac:dyDescent="0.25">
      <c r="A75" s="14">
        <v>74</v>
      </c>
      <c r="B75" s="14">
        <v>9444900</v>
      </c>
      <c r="C75" s="15" t="s">
        <v>121</v>
      </c>
      <c r="D75" s="15" t="s">
        <v>118</v>
      </c>
      <c r="E75" s="15" t="s">
        <v>119</v>
      </c>
      <c r="F75" s="28">
        <v>6.7330000000000003E-3</v>
      </c>
      <c r="G75" s="28">
        <v>0.48051199999999999</v>
      </c>
      <c r="H75" s="28">
        <v>9.5429999999999994E-3</v>
      </c>
      <c r="I75" s="28">
        <v>1.8704999999999999E-2</v>
      </c>
      <c r="J75" s="28">
        <v>1.314349</v>
      </c>
      <c r="K75" s="28">
        <v>1.3608E-2</v>
      </c>
      <c r="L75" s="28">
        <v>0.13511699999999999</v>
      </c>
      <c r="M75" s="28">
        <v>8.8339999999999998E-3</v>
      </c>
      <c r="N75" s="28">
        <v>-1.6900000000000001E-3</v>
      </c>
      <c r="O75" s="28">
        <v>0.85145400000000004</v>
      </c>
      <c r="P75" s="28">
        <v>8.9549999999999994E-3</v>
      </c>
      <c r="Q75" s="28">
        <v>1.1915E-2</v>
      </c>
      <c r="R75" s="28">
        <v>0.13355</v>
      </c>
      <c r="S75" s="28">
        <v>7.7029999999999998E-3</v>
      </c>
    </row>
    <row r="76" spans="1:19" ht="15" x14ac:dyDescent="0.25">
      <c r="A76" s="14">
        <v>75</v>
      </c>
      <c r="B76" s="14">
        <v>9447130</v>
      </c>
      <c r="C76" s="15" t="s">
        <v>122</v>
      </c>
      <c r="D76" s="15" t="s">
        <v>118</v>
      </c>
      <c r="E76" s="15" t="s">
        <v>119</v>
      </c>
      <c r="F76" s="28">
        <v>1.353E-3</v>
      </c>
      <c r="G76" s="28">
        <v>0.92169199999999996</v>
      </c>
      <c r="H76" s="28">
        <v>1.3761000000000001E-2</v>
      </c>
      <c r="I76" s="28">
        <v>2.6971999999999999E-2</v>
      </c>
      <c r="J76" s="28">
        <v>2.2791950000000001</v>
      </c>
      <c r="K76" s="28">
        <v>-3.64E-3</v>
      </c>
      <c r="L76" s="28">
        <v>0.76704300000000003</v>
      </c>
      <c r="M76" s="28">
        <v>1.2163999999999999E-2</v>
      </c>
      <c r="N76" s="28">
        <v>1.709E-3</v>
      </c>
      <c r="O76" s="28">
        <v>0.90419700000000003</v>
      </c>
      <c r="P76" s="28">
        <v>1.4053E-2</v>
      </c>
      <c r="Q76" s="28">
        <v>-1.9400000000000001E-3</v>
      </c>
      <c r="R76" s="28">
        <v>0.8427</v>
      </c>
      <c r="S76" s="28">
        <v>9.6469999999999993E-3</v>
      </c>
    </row>
    <row r="77" spans="1:19" ht="15" x14ac:dyDescent="0.25">
      <c r="A77" s="14">
        <v>76</v>
      </c>
      <c r="B77" s="14">
        <v>9446484</v>
      </c>
      <c r="C77" s="15" t="s">
        <v>123</v>
      </c>
      <c r="D77" s="15" t="s">
        <v>118</v>
      </c>
      <c r="E77" s="15" t="s">
        <v>119</v>
      </c>
      <c r="F77" s="28">
        <v>8.5179999999999995E-3</v>
      </c>
      <c r="G77" s="28">
        <v>0.83579099999999995</v>
      </c>
      <c r="H77" s="28">
        <v>4.1095E-2</v>
      </c>
      <c r="I77" s="28">
        <v>8.0546000000000006E-2</v>
      </c>
      <c r="J77" s="28">
        <v>3.1226509999999998</v>
      </c>
      <c r="K77" s="28">
        <v>3.0932000000000001E-2</v>
      </c>
      <c r="L77" s="28">
        <v>7.2017999999999999E-2</v>
      </c>
      <c r="M77" s="28">
        <v>1.6435999999999999E-2</v>
      </c>
      <c r="N77" s="28">
        <v>-1.9810000000000001E-2</v>
      </c>
      <c r="O77" s="28">
        <v>0.44946799999999998</v>
      </c>
      <c r="P77" s="28">
        <v>2.5760000000000002E-2</v>
      </c>
      <c r="Q77" s="28">
        <v>1.1126E-2</v>
      </c>
      <c r="R77" s="28">
        <v>0.514289</v>
      </c>
      <c r="S77" s="28">
        <v>1.6806999999999999E-2</v>
      </c>
    </row>
    <row r="78" spans="1:19" ht="15" x14ac:dyDescent="0.25">
      <c r="A78" s="14">
        <v>77</v>
      </c>
      <c r="B78" s="14">
        <v>9440910</v>
      </c>
      <c r="C78" s="15" t="s">
        <v>124</v>
      </c>
      <c r="D78" s="15" t="s">
        <v>118</v>
      </c>
      <c r="E78" s="15" t="s">
        <v>119</v>
      </c>
      <c r="F78" s="28">
        <v>-5.0000000000000001E-4</v>
      </c>
      <c r="G78" s="28">
        <v>0.954708</v>
      </c>
      <c r="H78" s="28">
        <v>8.8850000000000005E-3</v>
      </c>
      <c r="I78" s="28">
        <v>1.7415E-2</v>
      </c>
      <c r="J78" s="28">
        <v>-0.88827999999999996</v>
      </c>
      <c r="K78" s="28">
        <v>-1.159E-2</v>
      </c>
      <c r="L78" s="28">
        <v>0.75866800000000001</v>
      </c>
      <c r="M78" s="28">
        <v>3.7324000000000003E-2</v>
      </c>
      <c r="N78" s="28">
        <v>1.4866000000000001E-2</v>
      </c>
      <c r="O78" s="28">
        <v>0.52885700000000002</v>
      </c>
      <c r="P78" s="28">
        <v>2.3276999999999999E-2</v>
      </c>
      <c r="Q78" s="28">
        <v>3.2729999999999999E-3</v>
      </c>
      <c r="R78" s="28">
        <v>0.88310100000000002</v>
      </c>
      <c r="S78" s="28">
        <v>2.2030000000000001E-2</v>
      </c>
    </row>
    <row r="79" spans="1:19" ht="15" x14ac:dyDescent="0.25">
      <c r="A79" s="14">
        <v>78</v>
      </c>
      <c r="B79" s="14">
        <v>9435380</v>
      </c>
      <c r="C79" s="15" t="s">
        <v>125</v>
      </c>
      <c r="D79" s="15" t="s">
        <v>126</v>
      </c>
      <c r="E79" s="15" t="s">
        <v>119</v>
      </c>
      <c r="F79" s="28">
        <v>-2.4399999999999999E-3</v>
      </c>
      <c r="G79" s="28">
        <v>0.81286999999999998</v>
      </c>
      <c r="H79" s="28">
        <v>1.0318000000000001E-2</v>
      </c>
      <c r="I79" s="28">
        <v>2.0223999999999999E-2</v>
      </c>
      <c r="J79" s="28">
        <v>1.5415080000000001</v>
      </c>
      <c r="K79" s="28">
        <v>1.5839999999999999E-3</v>
      </c>
      <c r="L79" s="28">
        <v>0.95561799999999997</v>
      </c>
      <c r="M79" s="28">
        <v>2.8174000000000001E-2</v>
      </c>
      <c r="N79" s="28">
        <v>1.7843999999999999E-2</v>
      </c>
      <c r="O79" s="28">
        <v>0.33723500000000001</v>
      </c>
      <c r="P79" s="28">
        <v>1.8223E-2</v>
      </c>
      <c r="Q79" s="28">
        <v>1.9428999999999998E-2</v>
      </c>
      <c r="R79" s="28">
        <v>0.431006</v>
      </c>
      <c r="S79" s="28">
        <v>2.4257000000000001E-2</v>
      </c>
    </row>
    <row r="80" spans="1:19" ht="15" x14ac:dyDescent="0.25">
      <c r="A80" s="14">
        <v>79</v>
      </c>
      <c r="B80" s="14">
        <v>9432780</v>
      </c>
      <c r="C80" s="15" t="s">
        <v>127</v>
      </c>
      <c r="D80" s="15" t="s">
        <v>126</v>
      </c>
      <c r="E80" s="15" t="s">
        <v>119</v>
      </c>
      <c r="F80" s="28">
        <v>5.2700000000000002E-4</v>
      </c>
      <c r="G80" s="28">
        <v>0.96084800000000004</v>
      </c>
      <c r="H80" s="28">
        <v>1.0736000000000001E-2</v>
      </c>
      <c r="I80" s="28">
        <v>2.1042999999999999E-2</v>
      </c>
      <c r="J80" s="28">
        <v>0.56017799999999995</v>
      </c>
      <c r="K80" s="28">
        <v>3.7067000000000003E-2</v>
      </c>
      <c r="L80" s="28">
        <v>0.13402</v>
      </c>
      <c r="M80" s="28">
        <v>2.3864E-2</v>
      </c>
      <c r="N80" s="28">
        <v>-3.2190000000000003E-2</v>
      </c>
      <c r="O80" s="28">
        <v>8.6664000000000005E-2</v>
      </c>
      <c r="P80" s="28">
        <v>1.7988000000000001E-2</v>
      </c>
      <c r="Q80" s="28">
        <v>4.8719999999999996E-3</v>
      </c>
      <c r="R80" s="28">
        <v>0.77384600000000003</v>
      </c>
      <c r="S80" s="28">
        <v>1.6757000000000001E-2</v>
      </c>
    </row>
    <row r="81" spans="1:19" ht="15" x14ac:dyDescent="0.25">
      <c r="A81" s="14">
        <v>80</v>
      </c>
      <c r="B81" s="14">
        <v>9431647</v>
      </c>
      <c r="C81" s="15" t="s">
        <v>128</v>
      </c>
      <c r="D81" s="15" t="s">
        <v>126</v>
      </c>
      <c r="E81" s="15" t="s">
        <v>119</v>
      </c>
      <c r="F81" s="28">
        <v>-9.2000000000000003E-4</v>
      </c>
      <c r="G81" s="28">
        <v>0.93623400000000001</v>
      </c>
      <c r="H81" s="28">
        <v>1.1469999999999999E-2</v>
      </c>
      <c r="I81" s="28">
        <v>2.2481000000000001E-2</v>
      </c>
      <c r="J81" s="28">
        <v>-0.65056999999999998</v>
      </c>
      <c r="K81" s="28">
        <v>2.3556000000000001E-2</v>
      </c>
      <c r="L81" s="28">
        <v>0.24009</v>
      </c>
      <c r="M81" s="28">
        <v>1.9349999999999999E-2</v>
      </c>
      <c r="N81" s="28">
        <v>-4.9399999999999999E-3</v>
      </c>
      <c r="O81" s="28">
        <v>0.60397699999999999</v>
      </c>
      <c r="P81" s="28">
        <v>9.3469999999999994E-3</v>
      </c>
      <c r="Q81" s="28">
        <v>1.8616000000000001E-2</v>
      </c>
      <c r="R81" s="28">
        <v>0.36329299999999998</v>
      </c>
      <c r="S81" s="28">
        <v>1.9928000000000001E-2</v>
      </c>
    </row>
    <row r="82" spans="1:19" ht="15" x14ac:dyDescent="0.25">
      <c r="A82" s="14">
        <v>81</v>
      </c>
      <c r="B82" s="14">
        <v>9419750</v>
      </c>
      <c r="C82" s="15" t="s">
        <v>129</v>
      </c>
      <c r="D82" s="15" t="s">
        <v>130</v>
      </c>
      <c r="E82" s="15" t="s">
        <v>119</v>
      </c>
      <c r="F82" s="28">
        <v>9.6380000000000007E-3</v>
      </c>
      <c r="G82" s="28">
        <v>0.40893000000000002</v>
      </c>
      <c r="H82" s="28">
        <v>1.1672E-2</v>
      </c>
      <c r="I82" s="28">
        <v>2.2876000000000001E-2</v>
      </c>
      <c r="J82" s="28">
        <v>-1.50437</v>
      </c>
      <c r="K82" s="28">
        <v>3.0728999999999999E-2</v>
      </c>
      <c r="L82" s="28">
        <v>0.166577</v>
      </c>
      <c r="M82" s="28">
        <v>2.1592E-2</v>
      </c>
      <c r="N82" s="28">
        <v>8.2899999999999998E-4</v>
      </c>
      <c r="O82" s="28">
        <v>0.95502500000000001</v>
      </c>
      <c r="P82" s="28">
        <v>1.4551E-2</v>
      </c>
      <c r="Q82" s="28">
        <v>3.1558000000000003E-2</v>
      </c>
      <c r="R82" s="28">
        <v>6.9056000000000006E-2</v>
      </c>
      <c r="S82" s="28">
        <v>1.6639999999999999E-2</v>
      </c>
    </row>
    <row r="83" spans="1:19" ht="15" x14ac:dyDescent="0.25">
      <c r="A83" s="14">
        <v>82</v>
      </c>
      <c r="B83" s="14">
        <v>9418767</v>
      </c>
      <c r="C83" s="15" t="s">
        <v>131</v>
      </c>
      <c r="D83" s="15" t="s">
        <v>130</v>
      </c>
      <c r="E83" s="15" t="s">
        <v>119</v>
      </c>
      <c r="F83" s="28">
        <v>7.0070000000000002E-3</v>
      </c>
      <c r="G83" s="28">
        <v>0.46567999999999998</v>
      </c>
      <c r="H83" s="28">
        <v>9.6050000000000007E-3</v>
      </c>
      <c r="I83" s="28">
        <v>1.8825999999999999E-2</v>
      </c>
      <c r="J83" s="28">
        <v>4.9397120000000001</v>
      </c>
      <c r="K83" s="28">
        <v>7.0333000000000007E-2</v>
      </c>
      <c r="L83" s="28">
        <v>5.5019999999999999E-3</v>
      </c>
      <c r="M83" s="28">
        <v>2.3147000000000001E-2</v>
      </c>
      <c r="N83" s="28">
        <v>-2.4760000000000001E-2</v>
      </c>
      <c r="O83" s="28">
        <v>8.7465000000000001E-2</v>
      </c>
      <c r="P83" s="28">
        <v>1.3919000000000001E-2</v>
      </c>
      <c r="Q83" s="28">
        <v>4.5576999999999999E-2</v>
      </c>
      <c r="R83" s="28">
        <v>2.5925E-2</v>
      </c>
      <c r="S83" s="28">
        <v>1.9245999999999999E-2</v>
      </c>
    </row>
    <row r="84" spans="1:19" ht="15" x14ac:dyDescent="0.25">
      <c r="A84" s="14">
        <v>83</v>
      </c>
      <c r="B84" s="14">
        <v>9416841</v>
      </c>
      <c r="C84" s="15" t="s">
        <v>132</v>
      </c>
      <c r="D84" s="15" t="s">
        <v>130</v>
      </c>
      <c r="E84" s="15" t="s">
        <v>119</v>
      </c>
      <c r="F84" s="28">
        <v>1.9680000000000001E-3</v>
      </c>
      <c r="G84" s="28">
        <v>0.85022799999999998</v>
      </c>
      <c r="H84" s="28">
        <v>1.0421E-2</v>
      </c>
      <c r="I84" s="28">
        <v>2.0426E-2</v>
      </c>
      <c r="J84" s="28">
        <v>1.4118409999999999</v>
      </c>
      <c r="K84" s="28">
        <v>2.5780999999999998E-2</v>
      </c>
      <c r="L84" s="28">
        <v>0.168576</v>
      </c>
      <c r="M84" s="28">
        <v>1.8183000000000001E-2</v>
      </c>
      <c r="N84" s="28">
        <v>1.3291000000000001E-2</v>
      </c>
      <c r="O84" s="28">
        <v>0.15274699999999999</v>
      </c>
      <c r="P84" s="28">
        <v>9.0119999999999992E-3</v>
      </c>
      <c r="Q84" s="28">
        <v>3.9072999999999997E-2</v>
      </c>
      <c r="R84" s="28">
        <v>2.6245999999999998E-2</v>
      </c>
      <c r="S84" s="28">
        <v>1.6539000000000002E-2</v>
      </c>
    </row>
    <row r="85" spans="1:19" ht="15" x14ac:dyDescent="0.25">
      <c r="A85" s="14">
        <v>84</v>
      </c>
      <c r="B85" s="14">
        <v>9415144</v>
      </c>
      <c r="C85" s="15" t="s">
        <v>133</v>
      </c>
      <c r="D85" s="15" t="s">
        <v>130</v>
      </c>
      <c r="E85" s="15" t="s">
        <v>134</v>
      </c>
      <c r="F85" s="28">
        <v>2.4351999999999999E-2</v>
      </c>
      <c r="G85" s="28">
        <v>2.199E-3</v>
      </c>
      <c r="H85" s="28">
        <v>7.953E-3</v>
      </c>
      <c r="I85" s="28">
        <v>1.5587999999999999E-2</v>
      </c>
      <c r="J85" s="28">
        <v>1.7672369999999999</v>
      </c>
      <c r="K85" s="28">
        <v>-2.9020000000000001E-2</v>
      </c>
      <c r="L85" s="28">
        <v>0.25944899999999999</v>
      </c>
      <c r="M85" s="28">
        <v>2.5194000000000001E-2</v>
      </c>
      <c r="N85" s="28">
        <v>3.8267000000000002E-2</v>
      </c>
      <c r="O85" s="28">
        <v>3.9754999999999999E-2</v>
      </c>
      <c r="P85" s="28">
        <v>1.771E-2</v>
      </c>
      <c r="Q85" s="28">
        <v>9.2449999999999997E-3</v>
      </c>
      <c r="R85" s="28">
        <v>0.51221300000000003</v>
      </c>
      <c r="S85" s="28">
        <v>1.3919000000000001E-2</v>
      </c>
    </row>
    <row r="86" spans="1:19" ht="15" x14ac:dyDescent="0.25">
      <c r="A86" s="14">
        <v>85</v>
      </c>
      <c r="B86" s="14">
        <v>9414863</v>
      </c>
      <c r="C86" s="15" t="s">
        <v>135</v>
      </c>
      <c r="D86" s="15" t="s">
        <v>130</v>
      </c>
      <c r="E86" s="15" t="s">
        <v>134</v>
      </c>
      <c r="F86" s="28">
        <v>2.9711999999999999E-2</v>
      </c>
      <c r="G86" s="28">
        <v>1.5304999999999999E-2</v>
      </c>
      <c r="H86" s="28">
        <v>1.2252000000000001E-2</v>
      </c>
      <c r="I86" s="28">
        <v>2.4014000000000001E-2</v>
      </c>
      <c r="J86" s="28">
        <v>2.9649420000000002</v>
      </c>
      <c r="K86" s="28">
        <v>1.482E-3</v>
      </c>
      <c r="L86" s="28">
        <v>0.948967</v>
      </c>
      <c r="M86" s="28">
        <v>2.2877999999999999E-2</v>
      </c>
      <c r="N86" s="28">
        <v>3.2502999999999997E-2</v>
      </c>
      <c r="O86" s="28">
        <v>4.5662000000000001E-2</v>
      </c>
      <c r="P86" s="28">
        <v>1.5299E-2</v>
      </c>
      <c r="Q86" s="28">
        <v>3.3985000000000001E-2</v>
      </c>
      <c r="R86" s="28">
        <v>0.117839</v>
      </c>
      <c r="S86" s="28">
        <v>2.0839E-2</v>
      </c>
    </row>
    <row r="87" spans="1:19" ht="15" x14ac:dyDescent="0.25">
      <c r="A87" s="14">
        <v>86</v>
      </c>
      <c r="B87" s="14">
        <v>9414750</v>
      </c>
      <c r="C87" s="15" t="s">
        <v>136</v>
      </c>
      <c r="D87" s="15" t="s">
        <v>130</v>
      </c>
      <c r="E87" s="15" t="s">
        <v>134</v>
      </c>
      <c r="F87" s="28">
        <v>3.4699000000000001E-2</v>
      </c>
      <c r="G87" s="28">
        <v>2.97E-5</v>
      </c>
      <c r="H87" s="28">
        <v>8.3090000000000004E-3</v>
      </c>
      <c r="I87" s="28">
        <v>1.6285999999999998E-2</v>
      </c>
      <c r="J87" s="28">
        <v>1.304724</v>
      </c>
      <c r="K87" s="28">
        <v>1.1850000000000001E-3</v>
      </c>
      <c r="L87" s="28">
        <v>0.948071</v>
      </c>
      <c r="M87" s="28">
        <v>1.8016999999999998E-2</v>
      </c>
      <c r="N87" s="28">
        <v>3.0457000000000001E-2</v>
      </c>
      <c r="O87" s="28">
        <v>2.1475999999999999E-2</v>
      </c>
      <c r="P87" s="28">
        <v>1.2447E-2</v>
      </c>
      <c r="Q87" s="28">
        <v>3.1642000000000003E-2</v>
      </c>
      <c r="R87" s="28">
        <v>4.0155999999999997E-2</v>
      </c>
      <c r="S87" s="28">
        <v>1.4648E-2</v>
      </c>
    </row>
    <row r="88" spans="1:19" ht="15" x14ac:dyDescent="0.25">
      <c r="A88" s="14">
        <v>87</v>
      </c>
      <c r="B88" s="14">
        <v>9414290</v>
      </c>
      <c r="C88" s="15" t="s">
        <v>137</v>
      </c>
      <c r="D88" s="15" t="s">
        <v>130</v>
      </c>
      <c r="E88" s="15" t="s">
        <v>134</v>
      </c>
      <c r="F88" s="28">
        <v>3.8331999999999998E-2</v>
      </c>
      <c r="G88" s="28">
        <v>3.5829999999999998E-3</v>
      </c>
      <c r="H88" s="28">
        <v>1.316E-2</v>
      </c>
      <c r="I88" s="28">
        <v>2.5794000000000001E-2</v>
      </c>
      <c r="J88" s="28">
        <v>1.8465009999999999</v>
      </c>
      <c r="K88" s="28">
        <v>4.3471000000000003E-2</v>
      </c>
      <c r="L88" s="28">
        <v>8.0092999999999998E-2</v>
      </c>
      <c r="M88" s="28">
        <v>2.383E-2</v>
      </c>
      <c r="N88" s="28">
        <v>3.1970999999999999E-2</v>
      </c>
      <c r="O88" s="28">
        <v>2.5571E-2</v>
      </c>
      <c r="P88" s="28">
        <v>1.3465E-2</v>
      </c>
      <c r="Q88" s="28">
        <v>7.5441999999999995E-2</v>
      </c>
      <c r="R88" s="28">
        <v>2.7850000000000001E-3</v>
      </c>
      <c r="S88" s="28">
        <v>2.2742999999999999E-2</v>
      </c>
    </row>
    <row r="89" spans="1:19" ht="15" x14ac:dyDescent="0.25">
      <c r="A89" s="14">
        <v>88</v>
      </c>
      <c r="B89" s="14">
        <v>9412110</v>
      </c>
      <c r="C89" s="15" t="s">
        <v>138</v>
      </c>
      <c r="D89" s="15" t="s">
        <v>130</v>
      </c>
      <c r="E89" s="15" t="s">
        <v>134</v>
      </c>
      <c r="F89" s="28">
        <v>2.6121999999999999E-2</v>
      </c>
      <c r="G89" s="28">
        <v>2.5644E-2</v>
      </c>
      <c r="H89" s="28">
        <v>1.1705999999999999E-2</v>
      </c>
      <c r="I89" s="28">
        <v>2.2943000000000002E-2</v>
      </c>
      <c r="J89" s="28">
        <v>1.4526829999999999</v>
      </c>
      <c r="K89" s="28">
        <v>1.611E-3</v>
      </c>
      <c r="L89" s="28">
        <v>0.93818699999999999</v>
      </c>
      <c r="M89" s="28">
        <v>2.0583000000000001E-2</v>
      </c>
      <c r="N89" s="28">
        <v>7.9740000000000002E-3</v>
      </c>
      <c r="O89" s="28">
        <v>0.53254000000000001</v>
      </c>
      <c r="P89" s="28">
        <v>1.2619E-2</v>
      </c>
      <c r="Q89" s="28">
        <v>9.5849999999999998E-3</v>
      </c>
      <c r="R89" s="28">
        <v>0.70912900000000001</v>
      </c>
      <c r="S89" s="28">
        <v>2.5434999999999999E-2</v>
      </c>
    </row>
    <row r="90" spans="1:19" ht="15" x14ac:dyDescent="0.25">
      <c r="A90" s="14">
        <v>89</v>
      </c>
      <c r="B90" s="14">
        <v>9410660</v>
      </c>
      <c r="C90" s="15" t="s">
        <v>139</v>
      </c>
      <c r="D90" s="15" t="s">
        <v>130</v>
      </c>
      <c r="E90" s="15" t="s">
        <v>134</v>
      </c>
      <c r="F90" s="28">
        <v>4.3269000000000002E-2</v>
      </c>
      <c r="G90" s="28">
        <v>5.6429999999999996E-3</v>
      </c>
      <c r="H90" s="28">
        <v>1.5633000000000001E-2</v>
      </c>
      <c r="I90" s="28">
        <v>3.0640000000000001E-2</v>
      </c>
      <c r="J90" s="28">
        <v>1.5953649999999999</v>
      </c>
      <c r="K90" s="28">
        <v>-2.64E-3</v>
      </c>
      <c r="L90" s="28">
        <v>0.92624200000000001</v>
      </c>
      <c r="M90" s="28">
        <v>2.8188000000000001E-2</v>
      </c>
      <c r="N90" s="28">
        <v>7.6341999999999993E-2</v>
      </c>
      <c r="O90" s="28">
        <v>2.1099999999999999E-3</v>
      </c>
      <c r="P90" s="28">
        <v>2.2159999999999999E-2</v>
      </c>
      <c r="Q90" s="28">
        <v>7.3705000000000007E-2</v>
      </c>
      <c r="R90" s="28">
        <v>7.6148999999999994E-2</v>
      </c>
      <c r="S90" s="28">
        <v>3.9766000000000003E-2</v>
      </c>
    </row>
    <row r="91" spans="1:19" ht="15" x14ac:dyDescent="0.25">
      <c r="A91" s="14">
        <v>90</v>
      </c>
      <c r="B91" s="14">
        <v>9410230</v>
      </c>
      <c r="C91" s="15" t="s">
        <v>140</v>
      </c>
      <c r="D91" s="15" t="s">
        <v>130</v>
      </c>
      <c r="E91" s="15" t="s">
        <v>134</v>
      </c>
      <c r="F91" s="28">
        <v>3.3709999999999999E-3</v>
      </c>
      <c r="G91" s="28">
        <v>0.80990700000000004</v>
      </c>
      <c r="H91" s="28">
        <v>1.4015E-2</v>
      </c>
      <c r="I91" s="28">
        <v>2.7469E-2</v>
      </c>
      <c r="J91" s="28">
        <v>1.38357</v>
      </c>
      <c r="K91" s="28">
        <v>4.2603000000000002E-2</v>
      </c>
      <c r="L91" s="28">
        <v>5.4597E-2</v>
      </c>
      <c r="M91" s="28">
        <v>2.1236999999999999E-2</v>
      </c>
      <c r="N91" s="28">
        <v>5.659E-3</v>
      </c>
      <c r="O91" s="28">
        <v>0.72006599999999998</v>
      </c>
      <c r="P91" s="28">
        <v>1.5633000000000001E-2</v>
      </c>
      <c r="Q91" s="28">
        <v>4.8261999999999999E-2</v>
      </c>
      <c r="R91" s="28">
        <v>5.9206000000000002E-2</v>
      </c>
      <c r="S91" s="28">
        <v>2.4539999999999999E-2</v>
      </c>
    </row>
    <row r="92" spans="1:19" ht="15" x14ac:dyDescent="0.25">
      <c r="A92" s="14">
        <v>91</v>
      </c>
      <c r="B92" s="14">
        <v>1617433</v>
      </c>
      <c r="C92" s="15" t="s">
        <v>141</v>
      </c>
      <c r="D92" s="15" t="s">
        <v>142</v>
      </c>
      <c r="E92" s="15" t="s">
        <v>143</v>
      </c>
      <c r="F92" s="28">
        <v>2.7917999999999998E-2</v>
      </c>
      <c r="G92" s="28">
        <v>1.217E-3</v>
      </c>
      <c r="H92" s="28">
        <v>8.6300000000000005E-3</v>
      </c>
      <c r="I92" s="28">
        <v>1.6914999999999999E-2</v>
      </c>
      <c r="J92" s="28">
        <v>4.0861499999999999</v>
      </c>
      <c r="K92" s="28">
        <v>-5.1000000000000004E-4</v>
      </c>
      <c r="L92" s="28">
        <v>0.97319800000000001</v>
      </c>
      <c r="M92" s="28">
        <v>1.5185000000000001E-2</v>
      </c>
      <c r="N92" s="28">
        <v>2.9249000000000001E-2</v>
      </c>
      <c r="O92" s="28">
        <v>6.0613E-2</v>
      </c>
      <c r="P92" s="28">
        <v>1.4937000000000001E-2</v>
      </c>
      <c r="Q92" s="28">
        <v>2.8733999999999999E-2</v>
      </c>
      <c r="R92" s="28">
        <v>4.0629999999999999E-2</v>
      </c>
      <c r="S92" s="28">
        <v>1.3362000000000001E-2</v>
      </c>
    </row>
    <row r="93" spans="1:19" ht="15" x14ac:dyDescent="0.25">
      <c r="A93" s="14">
        <v>92</v>
      </c>
      <c r="B93" s="14">
        <v>1615680</v>
      </c>
      <c r="C93" s="15" t="s">
        <v>144</v>
      </c>
      <c r="D93" s="15" t="s">
        <v>142</v>
      </c>
      <c r="E93" s="15" t="s">
        <v>143</v>
      </c>
      <c r="F93" s="28">
        <v>2.2218999999999999E-2</v>
      </c>
      <c r="G93" s="28">
        <v>1.1688E-2</v>
      </c>
      <c r="H93" s="28">
        <v>8.8120000000000004E-3</v>
      </c>
      <c r="I93" s="28">
        <v>1.7271000000000002E-2</v>
      </c>
      <c r="J93" s="28">
        <v>2.5332569999999999</v>
      </c>
      <c r="K93" s="28">
        <v>-2.8899999999999999E-2</v>
      </c>
      <c r="L93" s="28">
        <v>0.102897</v>
      </c>
      <c r="M93" s="28">
        <v>1.7069000000000001E-2</v>
      </c>
      <c r="N93" s="28">
        <v>3.5633999999999999E-2</v>
      </c>
      <c r="O93" s="28">
        <v>1.39E-3</v>
      </c>
      <c r="P93" s="28">
        <v>9.9120000000000007E-3</v>
      </c>
      <c r="Q93" s="28">
        <v>6.7369999999999999E-3</v>
      </c>
      <c r="R93" s="28">
        <v>0.72042200000000001</v>
      </c>
      <c r="S93" s="28">
        <v>1.8613000000000001E-2</v>
      </c>
    </row>
    <row r="94" spans="1:19" ht="15" x14ac:dyDescent="0.25">
      <c r="A94" s="14">
        <v>93</v>
      </c>
      <c r="B94" s="14">
        <v>1612480</v>
      </c>
      <c r="C94" s="15" t="s">
        <v>145</v>
      </c>
      <c r="D94" s="15" t="s">
        <v>142</v>
      </c>
      <c r="E94" s="15" t="s">
        <v>143</v>
      </c>
      <c r="F94" s="28">
        <v>2.7813000000000001E-2</v>
      </c>
      <c r="G94" s="28">
        <v>1.17E-4</v>
      </c>
      <c r="H94" s="28">
        <v>7.2199999999999999E-3</v>
      </c>
      <c r="I94" s="28">
        <v>1.4149999999999999E-2</v>
      </c>
      <c r="J94" s="28">
        <v>2.8732899999999999</v>
      </c>
      <c r="K94" s="28">
        <v>-1.992E-2</v>
      </c>
      <c r="L94" s="28">
        <v>0.41152</v>
      </c>
      <c r="M94" s="28">
        <v>2.3896000000000001E-2</v>
      </c>
      <c r="N94" s="28">
        <v>8.3395999999999998E-2</v>
      </c>
      <c r="O94" s="28">
        <v>1.4009999999999999E-3</v>
      </c>
      <c r="P94" s="28">
        <v>2.3524E-2</v>
      </c>
      <c r="Q94" s="28">
        <v>6.3474000000000003E-2</v>
      </c>
      <c r="R94" s="28">
        <v>5.1117999999999997E-2</v>
      </c>
      <c r="S94" s="28">
        <v>3.1147999999999999E-2</v>
      </c>
    </row>
    <row r="95" spans="1:19" ht="15" x14ac:dyDescent="0.25">
      <c r="A95" s="14">
        <v>94</v>
      </c>
      <c r="B95" s="14">
        <v>1619910</v>
      </c>
      <c r="C95" s="15" t="s">
        <v>146</v>
      </c>
      <c r="D95" s="15" t="s">
        <v>147</v>
      </c>
      <c r="E95" s="15" t="s">
        <v>143</v>
      </c>
      <c r="F95" s="28">
        <v>2.8150000000000001E-2</v>
      </c>
      <c r="G95" s="28">
        <v>1.1227000000000001E-2</v>
      </c>
      <c r="H95" s="28">
        <v>1.1102000000000001E-2</v>
      </c>
      <c r="I95" s="28">
        <v>2.1760000000000002E-2</v>
      </c>
      <c r="J95" s="28">
        <v>3.3263569999999998</v>
      </c>
      <c r="K95" s="28">
        <v>-1.1180000000000001E-2</v>
      </c>
      <c r="L95" s="28">
        <v>0.68704799999999999</v>
      </c>
      <c r="M95" s="28">
        <v>2.7397000000000001E-2</v>
      </c>
      <c r="N95" s="28">
        <v>3.2503999999999998E-2</v>
      </c>
      <c r="O95" s="28">
        <v>0.16939799999999999</v>
      </c>
      <c r="P95" s="28">
        <v>2.2877999999999999E-2</v>
      </c>
      <c r="Q95" s="28">
        <v>2.1319999999999999E-2</v>
      </c>
      <c r="R95" s="28">
        <v>0.108849</v>
      </c>
      <c r="S95" s="28">
        <v>1.2756999999999999E-2</v>
      </c>
    </row>
    <row r="96" spans="1:19" ht="15" x14ac:dyDescent="0.25">
      <c r="A96" s="14">
        <v>95</v>
      </c>
      <c r="B96" s="14">
        <v>1890000</v>
      </c>
      <c r="C96" s="15" t="s">
        <v>148</v>
      </c>
      <c r="D96" s="15" t="s">
        <v>149</v>
      </c>
      <c r="E96" s="15" t="s">
        <v>143</v>
      </c>
      <c r="F96" s="28">
        <v>2.9059999999999999E-2</v>
      </c>
      <c r="G96" s="28">
        <v>1.63E-4</v>
      </c>
      <c r="H96" s="28">
        <v>7.7060000000000002E-3</v>
      </c>
      <c r="I96" s="28">
        <v>1.5103999999999999E-2</v>
      </c>
      <c r="J96" s="28">
        <v>2.5015540000000001</v>
      </c>
      <c r="K96" s="28">
        <v>2.5807E-2</v>
      </c>
      <c r="L96" s="28">
        <v>0.374365</v>
      </c>
      <c r="M96" s="28">
        <v>2.8461E-2</v>
      </c>
      <c r="N96" s="28">
        <v>1.9928999999999999E-2</v>
      </c>
      <c r="O96" s="28">
        <v>0.31070900000000001</v>
      </c>
      <c r="P96" s="28">
        <v>1.9206000000000001E-2</v>
      </c>
      <c r="Q96" s="28">
        <v>4.5735999999999999E-2</v>
      </c>
      <c r="R96" s="28">
        <v>2.4157999999999999E-2</v>
      </c>
      <c r="S96" s="28">
        <v>1.8889E-2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0"/>
  <sheetViews>
    <sheetView workbookViewId="0"/>
  </sheetViews>
  <sheetFormatPr defaultColWidth="12.5703125" defaultRowHeight="15.75" customHeight="1" x14ac:dyDescent="0.2"/>
  <sheetData>
    <row r="1" spans="1:2" ht="15.75" customHeight="1" x14ac:dyDescent="0.25">
      <c r="A1" s="18" t="s">
        <v>150</v>
      </c>
      <c r="B1" s="18" t="s">
        <v>151</v>
      </c>
    </row>
    <row r="2" spans="1:2" ht="15.75" customHeight="1" x14ac:dyDescent="0.25">
      <c r="A2" s="19" t="s">
        <v>0</v>
      </c>
      <c r="B2" s="17" t="s">
        <v>226</v>
      </c>
    </row>
    <row r="3" spans="1:2" ht="15.75" customHeight="1" x14ac:dyDescent="0.25">
      <c r="A3" s="19" t="s">
        <v>1</v>
      </c>
      <c r="B3" s="17" t="s">
        <v>153</v>
      </c>
    </row>
    <row r="4" spans="1:2" ht="15.75" customHeight="1" x14ac:dyDescent="0.25">
      <c r="A4" s="19" t="s">
        <v>2</v>
      </c>
      <c r="B4" s="17" t="s">
        <v>154</v>
      </c>
    </row>
    <row r="5" spans="1:2" ht="15.75" customHeight="1" x14ac:dyDescent="0.25">
      <c r="A5" s="19" t="s">
        <v>3</v>
      </c>
      <c r="B5" s="17" t="s">
        <v>155</v>
      </c>
    </row>
    <row r="6" spans="1:2" ht="15.75" customHeight="1" x14ac:dyDescent="0.25">
      <c r="A6" s="19" t="s">
        <v>8</v>
      </c>
      <c r="B6" s="17" t="s">
        <v>160</v>
      </c>
    </row>
    <row r="7" spans="1:2" ht="15.75" customHeight="1" x14ac:dyDescent="0.25">
      <c r="A7" s="19" t="s">
        <v>212</v>
      </c>
      <c r="B7" s="19" t="s">
        <v>227</v>
      </c>
    </row>
    <row r="8" spans="1:2" ht="15.75" customHeight="1" x14ac:dyDescent="0.25">
      <c r="A8" s="19" t="s">
        <v>213</v>
      </c>
      <c r="B8" s="19" t="s">
        <v>228</v>
      </c>
    </row>
    <row r="9" spans="1:2" ht="15.75" customHeight="1" x14ac:dyDescent="0.25">
      <c r="A9" s="19" t="s">
        <v>214</v>
      </c>
      <c r="B9" s="19" t="s">
        <v>229</v>
      </c>
    </row>
    <row r="10" spans="1:2" ht="15.75" customHeight="1" x14ac:dyDescent="0.25">
      <c r="A10" s="19" t="s">
        <v>215</v>
      </c>
      <c r="B10" s="19" t="s">
        <v>230</v>
      </c>
    </row>
    <row r="11" spans="1:2" ht="15.75" customHeight="1" x14ac:dyDescent="0.25">
      <c r="A11" s="21" t="s">
        <v>216</v>
      </c>
      <c r="B11" s="19" t="s">
        <v>231</v>
      </c>
    </row>
    <row r="12" spans="1:2" ht="15.75" customHeight="1" x14ac:dyDescent="0.25">
      <c r="A12" s="29" t="s">
        <v>217</v>
      </c>
      <c r="B12" s="19" t="s">
        <v>232</v>
      </c>
    </row>
    <row r="13" spans="1:2" ht="15.75" customHeight="1" x14ac:dyDescent="0.25">
      <c r="A13" s="29" t="s">
        <v>218</v>
      </c>
      <c r="B13" s="19" t="s">
        <v>233</v>
      </c>
    </row>
    <row r="14" spans="1:2" ht="15.75" customHeight="1" x14ac:dyDescent="0.25">
      <c r="A14" s="29" t="s">
        <v>219</v>
      </c>
      <c r="B14" s="19" t="s">
        <v>234</v>
      </c>
    </row>
    <row r="15" spans="1:2" ht="15.75" customHeight="1" x14ac:dyDescent="0.25">
      <c r="A15" s="29" t="s">
        <v>220</v>
      </c>
      <c r="B15" s="19" t="s">
        <v>235</v>
      </c>
    </row>
    <row r="16" spans="1:2" ht="15.75" customHeight="1" x14ac:dyDescent="0.25">
      <c r="A16" s="29" t="s">
        <v>221</v>
      </c>
      <c r="B16" s="19" t="s">
        <v>236</v>
      </c>
    </row>
    <row r="17" spans="1:2" ht="15.75" customHeight="1" x14ac:dyDescent="0.25">
      <c r="A17" s="29" t="s">
        <v>222</v>
      </c>
      <c r="B17" s="19" t="s">
        <v>237</v>
      </c>
    </row>
    <row r="18" spans="1:2" ht="15.75" customHeight="1" x14ac:dyDescent="0.25">
      <c r="A18" s="29" t="s">
        <v>223</v>
      </c>
      <c r="B18" s="19" t="s">
        <v>238</v>
      </c>
    </row>
    <row r="19" spans="1:2" ht="15.75" customHeight="1" x14ac:dyDescent="0.25">
      <c r="A19" s="29" t="s">
        <v>224</v>
      </c>
      <c r="B19" s="19" t="s">
        <v>239</v>
      </c>
    </row>
    <row r="20" spans="1:2" ht="15.75" customHeight="1" x14ac:dyDescent="0.25">
      <c r="A20" s="29" t="s">
        <v>225</v>
      </c>
      <c r="B20" s="19" t="s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96"/>
  <sheetViews>
    <sheetView workbookViewId="0"/>
  </sheetViews>
  <sheetFormatPr defaultColWidth="12.5703125" defaultRowHeight="15.75" customHeight="1" x14ac:dyDescent="0.2"/>
  <sheetData>
    <row r="1" spans="1:21" ht="15.7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8</v>
      </c>
      <c r="F1" s="30" t="s">
        <v>241</v>
      </c>
      <c r="G1" s="30" t="s">
        <v>242</v>
      </c>
      <c r="H1" s="30" t="s">
        <v>243</v>
      </c>
      <c r="I1" s="30" t="s">
        <v>244</v>
      </c>
      <c r="J1" s="30" t="s">
        <v>245</v>
      </c>
      <c r="K1" s="23" t="s">
        <v>246</v>
      </c>
      <c r="L1" s="23" t="s">
        <v>247</v>
      </c>
      <c r="M1" s="23" t="s">
        <v>248</v>
      </c>
      <c r="N1" s="31" t="s">
        <v>249</v>
      </c>
      <c r="O1" s="30" t="s">
        <v>250</v>
      </c>
      <c r="P1" s="32" t="s">
        <v>251</v>
      </c>
      <c r="Q1" s="30" t="s">
        <v>252</v>
      </c>
      <c r="R1" s="30" t="s">
        <v>253</v>
      </c>
      <c r="S1" s="30" t="s">
        <v>254</v>
      </c>
      <c r="T1" s="32" t="s">
        <v>255</v>
      </c>
      <c r="U1" s="30" t="s">
        <v>256</v>
      </c>
    </row>
    <row r="2" spans="1:21" ht="15.75" customHeight="1" x14ac:dyDescent="0.25">
      <c r="A2" s="4">
        <v>1</v>
      </c>
      <c r="B2" s="4">
        <v>8410140</v>
      </c>
      <c r="C2" s="5" t="s">
        <v>18</v>
      </c>
      <c r="D2" s="5" t="s">
        <v>19</v>
      </c>
      <c r="E2" s="5" t="s">
        <v>20</v>
      </c>
      <c r="F2" s="33">
        <v>7.87</v>
      </c>
      <c r="G2" s="33">
        <v>8.1</v>
      </c>
      <c r="H2" s="33">
        <v>12.789</v>
      </c>
      <c r="I2" s="33">
        <v>-0.129</v>
      </c>
      <c r="J2" s="33">
        <v>-1.284</v>
      </c>
      <c r="K2" s="9">
        <v>12.425000000000001</v>
      </c>
      <c r="L2" s="9">
        <v>12.85833</v>
      </c>
      <c r="M2" s="9">
        <v>13.595420000000001</v>
      </c>
      <c r="N2" s="34">
        <v>-4.0000000000000001E-3</v>
      </c>
      <c r="O2" s="33">
        <v>6.7000000000000004E-2</v>
      </c>
      <c r="P2" s="35">
        <v>0.80600000000000005</v>
      </c>
      <c r="Q2" s="33">
        <v>-0.10100000000000001</v>
      </c>
      <c r="R2" s="33">
        <v>-0.122</v>
      </c>
      <c r="S2" s="33">
        <v>1.0980000000000001</v>
      </c>
      <c r="T2" s="35">
        <v>1.3480000000000001</v>
      </c>
      <c r="U2" s="33">
        <v>1.78</v>
      </c>
    </row>
    <row r="3" spans="1:21" ht="15.75" customHeight="1" x14ac:dyDescent="0.25">
      <c r="A3" s="4">
        <v>2</v>
      </c>
      <c r="B3" s="4">
        <v>8413320</v>
      </c>
      <c r="C3" s="5" t="s">
        <v>21</v>
      </c>
      <c r="D3" s="5" t="s">
        <v>19</v>
      </c>
      <c r="E3" s="5" t="s">
        <v>20</v>
      </c>
      <c r="F3" s="33">
        <v>8.5589999999999993</v>
      </c>
      <c r="G3" s="33">
        <v>9.25</v>
      </c>
      <c r="H3" s="33">
        <v>24.678000000000001</v>
      </c>
      <c r="I3" s="33">
        <v>-0.23100000000000001</v>
      </c>
      <c r="J3" s="33">
        <v>-1.1739999999999999</v>
      </c>
      <c r="K3" s="9">
        <v>14.52042</v>
      </c>
      <c r="L3" s="9">
        <v>15.355230000000001</v>
      </c>
      <c r="M3" s="9">
        <v>16.825749999999999</v>
      </c>
      <c r="N3" s="34">
        <v>-4.0000000000000001E-3</v>
      </c>
      <c r="O3" s="33">
        <v>-4.9000000000000002E-2</v>
      </c>
      <c r="P3" s="35">
        <v>1.7829999999999999</v>
      </c>
      <c r="Q3" s="33">
        <v>0.78</v>
      </c>
      <c r="R3" s="33">
        <v>3.1960000000000002</v>
      </c>
      <c r="S3" s="33">
        <v>1.54</v>
      </c>
      <c r="T3" s="35">
        <v>2.1080000000000001</v>
      </c>
      <c r="U3" s="33">
        <v>3.774</v>
      </c>
    </row>
    <row r="4" spans="1:21" ht="15.75" customHeight="1" x14ac:dyDescent="0.25">
      <c r="A4" s="4">
        <v>3</v>
      </c>
      <c r="B4" s="4">
        <v>8418150</v>
      </c>
      <c r="C4" s="5" t="s">
        <v>22</v>
      </c>
      <c r="D4" s="5" t="s">
        <v>19</v>
      </c>
      <c r="E4" s="5" t="s">
        <v>20</v>
      </c>
      <c r="F4" s="33">
        <v>9.4740000000000002</v>
      </c>
      <c r="G4" s="33">
        <v>9.5250000000000004</v>
      </c>
      <c r="H4" s="33">
        <v>27.013000000000002</v>
      </c>
      <c r="I4" s="33">
        <v>-6.4000000000000001E-2</v>
      </c>
      <c r="J4" s="33">
        <v>-1.296</v>
      </c>
      <c r="K4" s="9">
        <v>16.151250000000001</v>
      </c>
      <c r="L4" s="9">
        <v>16.942920000000001</v>
      </c>
      <c r="M4" s="9">
        <v>18.244209999999999</v>
      </c>
      <c r="N4" s="34">
        <v>-3.0000000000000001E-3</v>
      </c>
      <c r="O4" s="33">
        <v>-7.9000000000000001E-2</v>
      </c>
      <c r="P4" s="35">
        <v>1.81</v>
      </c>
      <c r="Q4" s="33">
        <v>0.23400000000000001</v>
      </c>
      <c r="R4" s="33">
        <v>0.74099999999999999</v>
      </c>
      <c r="S4" s="33">
        <v>1.718</v>
      </c>
      <c r="T4" s="35">
        <v>2.3610000000000002</v>
      </c>
      <c r="U4" s="33">
        <v>3.5619999999999998</v>
      </c>
    </row>
    <row r="5" spans="1:21" ht="15.75" customHeight="1" x14ac:dyDescent="0.25">
      <c r="A5" s="4">
        <v>4</v>
      </c>
      <c r="B5" s="4">
        <v>8449130</v>
      </c>
      <c r="C5" s="5" t="s">
        <v>23</v>
      </c>
      <c r="D5" s="5" t="s">
        <v>24</v>
      </c>
      <c r="E5" s="5" t="s">
        <v>20</v>
      </c>
      <c r="F5" s="33">
        <v>12.545</v>
      </c>
      <c r="G5" s="33">
        <v>11.914999999999999</v>
      </c>
      <c r="H5" s="33">
        <v>61.786999999999999</v>
      </c>
      <c r="I5" s="33">
        <v>7.8E-2</v>
      </c>
      <c r="J5" s="33">
        <v>-1.2849999999999999</v>
      </c>
      <c r="K5" s="9">
        <v>23.4</v>
      </c>
      <c r="L5" s="9">
        <v>24.427289999999999</v>
      </c>
      <c r="M5" s="9">
        <v>25.912289999999999</v>
      </c>
      <c r="N5" s="34">
        <v>-5.0000000000000001E-3</v>
      </c>
      <c r="O5" s="33">
        <v>-1.2E-2</v>
      </c>
      <c r="P5" s="35">
        <v>2.7469999999999999</v>
      </c>
      <c r="Q5" s="33">
        <v>-3.3000000000000002E-2</v>
      </c>
      <c r="R5" s="33">
        <v>7.6999999999999999E-2</v>
      </c>
      <c r="S5" s="33">
        <v>2.101</v>
      </c>
      <c r="T5" s="35">
        <v>2.7050000000000001</v>
      </c>
      <c r="U5" s="33">
        <v>3.7389999999999999</v>
      </c>
    </row>
    <row r="6" spans="1:21" ht="15.75" customHeight="1" x14ac:dyDescent="0.25">
      <c r="A6" s="4">
        <v>5</v>
      </c>
      <c r="B6" s="4">
        <v>8447930</v>
      </c>
      <c r="C6" s="5" t="s">
        <v>25</v>
      </c>
      <c r="D6" s="5" t="s">
        <v>24</v>
      </c>
      <c r="E6" s="5" t="s">
        <v>20</v>
      </c>
      <c r="F6" s="33">
        <v>12.093</v>
      </c>
      <c r="G6" s="33">
        <v>11.824</v>
      </c>
      <c r="H6" s="33">
        <v>57.875999999999998</v>
      </c>
      <c r="I6" s="33">
        <v>-7.0000000000000001E-3</v>
      </c>
      <c r="J6" s="33">
        <v>-1.3759999999999999</v>
      </c>
      <c r="K6" s="9">
        <v>22.11636</v>
      </c>
      <c r="L6" s="9">
        <v>22.97803</v>
      </c>
      <c r="M6" s="9">
        <v>24.10417</v>
      </c>
      <c r="N6" s="34">
        <v>-8.9999999999999993E-3</v>
      </c>
      <c r="O6" s="33">
        <v>-2.3E-2</v>
      </c>
      <c r="P6" s="35">
        <v>1.6970000000000001</v>
      </c>
      <c r="Q6" s="33">
        <v>3.5000000000000003E-2</v>
      </c>
      <c r="R6" s="33">
        <v>0.251</v>
      </c>
      <c r="S6" s="33">
        <v>1.6539999999999999</v>
      </c>
      <c r="T6" s="35">
        <v>2.101</v>
      </c>
      <c r="U6" s="33">
        <v>3.1549999999999998</v>
      </c>
    </row>
    <row r="7" spans="1:21" ht="15.75" customHeight="1" x14ac:dyDescent="0.25">
      <c r="A7" s="4">
        <v>6</v>
      </c>
      <c r="B7" s="4">
        <v>8454000</v>
      </c>
      <c r="C7" s="5" t="s">
        <v>26</v>
      </c>
      <c r="D7" s="5" t="s">
        <v>27</v>
      </c>
      <c r="E7" s="5" t="s">
        <v>20</v>
      </c>
      <c r="F7" s="33">
        <v>12.606</v>
      </c>
      <c r="G7" s="33">
        <v>12.113</v>
      </c>
      <c r="H7" s="33">
        <v>56.494999999999997</v>
      </c>
      <c r="I7" s="33">
        <v>9.9000000000000005E-2</v>
      </c>
      <c r="J7" s="33">
        <v>-1.369</v>
      </c>
      <c r="K7" s="9">
        <v>22.902830000000002</v>
      </c>
      <c r="L7" s="9">
        <v>23.889320000000001</v>
      </c>
      <c r="M7" s="9">
        <v>25.22221</v>
      </c>
      <c r="N7" s="34">
        <v>-1E-3</v>
      </c>
      <c r="O7" s="33">
        <v>8.9999999999999993E-3</v>
      </c>
      <c r="P7" s="35">
        <v>2.488</v>
      </c>
      <c r="Q7" s="33">
        <v>-0.39100000000000001</v>
      </c>
      <c r="R7" s="33">
        <v>2.738</v>
      </c>
      <c r="S7" s="33">
        <v>1.901</v>
      </c>
      <c r="T7" s="35">
        <v>2.5209999999999999</v>
      </c>
      <c r="U7" s="33">
        <v>3.7559999999999998</v>
      </c>
    </row>
    <row r="8" spans="1:21" ht="15.75" customHeight="1" x14ac:dyDescent="0.25">
      <c r="A8" s="4">
        <v>7</v>
      </c>
      <c r="B8" s="4">
        <v>8452944</v>
      </c>
      <c r="C8" s="5" t="s">
        <v>28</v>
      </c>
      <c r="D8" s="5" t="s">
        <v>27</v>
      </c>
      <c r="E8" s="5" t="s">
        <v>20</v>
      </c>
      <c r="F8" s="33">
        <v>13.31</v>
      </c>
      <c r="G8" s="33">
        <v>13.051</v>
      </c>
      <c r="H8" s="33">
        <v>62.427999999999997</v>
      </c>
      <c r="I8" s="33">
        <v>3.9E-2</v>
      </c>
      <c r="J8" s="33">
        <v>-1.343</v>
      </c>
      <c r="K8" s="9">
        <v>23.891670000000001</v>
      </c>
      <c r="L8" s="9">
        <v>25.028880000000001</v>
      </c>
      <c r="M8" s="9">
        <v>26.554880000000001</v>
      </c>
      <c r="N8" s="34">
        <v>1E-3</v>
      </c>
      <c r="O8" s="33">
        <v>-0.106</v>
      </c>
      <c r="P8" s="35">
        <v>3.073</v>
      </c>
      <c r="Q8" s="33">
        <v>0.435</v>
      </c>
      <c r="R8" s="33">
        <v>0.628</v>
      </c>
      <c r="S8" s="33">
        <v>2.1930000000000001</v>
      </c>
      <c r="T8" s="35">
        <v>2.964</v>
      </c>
      <c r="U8" s="33">
        <v>5.0330000000000004</v>
      </c>
    </row>
    <row r="9" spans="1:21" ht="15.75" customHeight="1" x14ac:dyDescent="0.25">
      <c r="A9" s="4">
        <v>8</v>
      </c>
      <c r="B9" s="4">
        <v>8447386</v>
      </c>
      <c r="C9" s="5" t="s">
        <v>29</v>
      </c>
      <c r="D9" s="5" t="s">
        <v>24</v>
      </c>
      <c r="E9" s="5" t="s">
        <v>20</v>
      </c>
      <c r="F9" s="33">
        <v>13.582000000000001</v>
      </c>
      <c r="G9" s="33">
        <v>12.798</v>
      </c>
      <c r="H9" s="33">
        <v>62.005000000000003</v>
      </c>
      <c r="I9" s="33">
        <v>0.10199999999999999</v>
      </c>
      <c r="J9" s="33">
        <v>-1.284</v>
      </c>
      <c r="K9" s="9">
        <v>24.277270000000001</v>
      </c>
      <c r="L9" s="9">
        <v>25.478960000000001</v>
      </c>
      <c r="M9" s="9">
        <v>27.466670000000001</v>
      </c>
      <c r="N9" s="34">
        <v>-1E-3</v>
      </c>
      <c r="O9" s="33">
        <v>-2.9000000000000001E-2</v>
      </c>
      <c r="P9" s="35">
        <v>3.54</v>
      </c>
      <c r="Q9" s="33">
        <v>-9.0999999999999998E-2</v>
      </c>
      <c r="R9" s="33">
        <v>1.494</v>
      </c>
      <c r="S9" s="33">
        <v>2.2909999999999999</v>
      </c>
      <c r="T9" s="35">
        <v>2.9729999999999999</v>
      </c>
      <c r="U9" s="33">
        <v>4.8220000000000001</v>
      </c>
    </row>
    <row r="10" spans="1:21" ht="15.75" customHeight="1" x14ac:dyDescent="0.25">
      <c r="A10" s="4">
        <v>9</v>
      </c>
      <c r="B10" s="4">
        <v>8454049</v>
      </c>
      <c r="C10" s="5" t="s">
        <v>30</v>
      </c>
      <c r="D10" s="5" t="s">
        <v>27</v>
      </c>
      <c r="E10" s="5" t="s">
        <v>20</v>
      </c>
      <c r="F10" s="33">
        <v>12.571</v>
      </c>
      <c r="G10" s="33">
        <v>11.95</v>
      </c>
      <c r="H10" s="33">
        <v>54.872999999999998</v>
      </c>
      <c r="I10" s="33">
        <v>0.06</v>
      </c>
      <c r="J10" s="33">
        <v>-1.333</v>
      </c>
      <c r="K10" s="9">
        <v>22.598749999999999</v>
      </c>
      <c r="L10" s="9">
        <v>23.601230000000001</v>
      </c>
      <c r="M10" s="9">
        <v>24.848410000000001</v>
      </c>
      <c r="N10" s="34">
        <v>-5.0000000000000001E-3</v>
      </c>
      <c r="O10" s="33">
        <v>-6.2E-2</v>
      </c>
      <c r="P10" s="35">
        <v>2.613</v>
      </c>
      <c r="Q10" s="33">
        <v>0.75900000000000001</v>
      </c>
      <c r="R10" s="33">
        <v>3.2370000000000001</v>
      </c>
      <c r="S10" s="33">
        <v>1.84</v>
      </c>
      <c r="T10" s="35">
        <v>2.427</v>
      </c>
      <c r="U10" s="33">
        <v>5.6879999999999997</v>
      </c>
    </row>
    <row r="11" spans="1:21" ht="15.75" customHeight="1" x14ac:dyDescent="0.25">
      <c r="A11" s="4">
        <v>10</v>
      </c>
      <c r="B11" s="4">
        <v>8452660</v>
      </c>
      <c r="C11" s="5" t="s">
        <v>31</v>
      </c>
      <c r="D11" s="5" t="s">
        <v>27</v>
      </c>
      <c r="E11" s="5" t="s">
        <v>20</v>
      </c>
      <c r="F11" s="33">
        <v>12.343</v>
      </c>
      <c r="G11" s="33">
        <v>12.089</v>
      </c>
      <c r="H11" s="33">
        <v>44.442999999999998</v>
      </c>
      <c r="I11" s="33">
        <v>1E-3</v>
      </c>
      <c r="J11" s="33">
        <v>-1.377</v>
      </c>
      <c r="K11" s="9">
        <v>21.031980000000001</v>
      </c>
      <c r="L11" s="9">
        <v>22.010269999999998</v>
      </c>
      <c r="M11" s="9">
        <v>23.326830000000001</v>
      </c>
      <c r="N11" s="34">
        <v>0</v>
      </c>
      <c r="O11" s="33">
        <v>-1.4E-2</v>
      </c>
      <c r="P11" s="35">
        <v>1.8169999999999999</v>
      </c>
      <c r="Q11" s="33">
        <v>8.5999999999999993E-2</v>
      </c>
      <c r="R11" s="33">
        <v>-2.8000000000000001E-2</v>
      </c>
      <c r="S11" s="33">
        <v>1.7629999999999999</v>
      </c>
      <c r="T11" s="35">
        <v>2.2869999999999999</v>
      </c>
      <c r="U11" s="33">
        <v>3.1360000000000001</v>
      </c>
    </row>
    <row r="12" spans="1:21" ht="15.75" customHeight="1" x14ac:dyDescent="0.25">
      <c r="A12" s="4">
        <v>11</v>
      </c>
      <c r="B12" s="4">
        <v>8461490</v>
      </c>
      <c r="C12" s="5" t="s">
        <v>32</v>
      </c>
      <c r="D12" s="5" t="s">
        <v>33</v>
      </c>
      <c r="E12" s="5" t="s">
        <v>20</v>
      </c>
      <c r="F12" s="33">
        <v>12.728</v>
      </c>
      <c r="G12" s="33">
        <v>12.358000000000001</v>
      </c>
      <c r="H12" s="33">
        <v>45.360999999999997</v>
      </c>
      <c r="I12" s="33">
        <v>1.4999999999999999E-2</v>
      </c>
      <c r="J12" s="33">
        <v>-1.37</v>
      </c>
      <c r="K12" s="9">
        <v>21.587499999999999</v>
      </c>
      <c r="L12" s="9">
        <v>22.346830000000001</v>
      </c>
      <c r="M12" s="9">
        <v>23.8369</v>
      </c>
      <c r="N12" s="34">
        <v>3.0000000000000001E-3</v>
      </c>
      <c r="O12" s="33">
        <v>-9.1999999999999998E-2</v>
      </c>
      <c r="P12" s="35">
        <v>1.663</v>
      </c>
      <c r="Q12" s="33">
        <v>0.32200000000000001</v>
      </c>
      <c r="R12" s="33">
        <v>0.32</v>
      </c>
      <c r="S12" s="33">
        <v>1.6879999999999999</v>
      </c>
      <c r="T12" s="35">
        <v>2.2749999999999999</v>
      </c>
      <c r="U12" s="33">
        <v>3.4660000000000002</v>
      </c>
    </row>
    <row r="13" spans="1:21" ht="15.75" customHeight="1" x14ac:dyDescent="0.25">
      <c r="A13" s="4">
        <v>12</v>
      </c>
      <c r="B13" s="4">
        <v>8465705</v>
      </c>
      <c r="C13" s="5" t="s">
        <v>34</v>
      </c>
      <c r="D13" s="5" t="s">
        <v>33</v>
      </c>
      <c r="E13" s="5" t="s">
        <v>20</v>
      </c>
      <c r="F13" s="33">
        <v>12.997999999999999</v>
      </c>
      <c r="G13" s="33">
        <v>12.475</v>
      </c>
      <c r="H13" s="33">
        <v>63.786999999999999</v>
      </c>
      <c r="I13" s="33">
        <v>4.2999999999999997E-2</v>
      </c>
      <c r="J13" s="33">
        <v>-1.31</v>
      </c>
      <c r="K13" s="9">
        <v>23.762499999999999</v>
      </c>
      <c r="L13" s="9">
        <v>24.83333</v>
      </c>
      <c r="M13" s="9">
        <v>26.398</v>
      </c>
      <c r="N13" s="34">
        <v>-1E-3</v>
      </c>
      <c r="O13" s="33">
        <v>9.0999999999999998E-2</v>
      </c>
      <c r="P13" s="35">
        <v>3.06</v>
      </c>
      <c r="Q13" s="33">
        <v>-0.41099999999999998</v>
      </c>
      <c r="R13" s="33">
        <v>0.66800000000000004</v>
      </c>
      <c r="S13" s="33">
        <v>2.09</v>
      </c>
      <c r="T13" s="35">
        <v>2.6970000000000001</v>
      </c>
      <c r="U13" s="33">
        <v>3.9390000000000001</v>
      </c>
    </row>
    <row r="14" spans="1:21" ht="15.75" customHeight="1" x14ac:dyDescent="0.25">
      <c r="A14" s="4">
        <v>13</v>
      </c>
      <c r="B14" s="4">
        <v>8516945</v>
      </c>
      <c r="C14" s="5" t="s">
        <v>35</v>
      </c>
      <c r="D14" s="5" t="s">
        <v>36</v>
      </c>
      <c r="E14" s="5" t="s">
        <v>20</v>
      </c>
      <c r="F14" s="33">
        <v>12.52</v>
      </c>
      <c r="G14" s="33">
        <v>12.558</v>
      </c>
      <c r="H14" s="33">
        <v>59.575000000000003</v>
      </c>
      <c r="I14" s="33">
        <v>-8.6999999999999994E-2</v>
      </c>
      <c r="J14" s="33">
        <v>-1.3160000000000001</v>
      </c>
      <c r="K14" s="9">
        <v>22.638490000000001</v>
      </c>
      <c r="L14" s="9">
        <v>23.294460000000001</v>
      </c>
      <c r="M14" s="9">
        <v>24.366320000000002</v>
      </c>
      <c r="N14" s="34">
        <v>1E-3</v>
      </c>
      <c r="O14" s="33">
        <v>-1.0999999999999999E-2</v>
      </c>
      <c r="P14" s="35">
        <v>2.4860000000000002</v>
      </c>
      <c r="Q14" s="33">
        <v>-3.4000000000000002E-2</v>
      </c>
      <c r="R14" s="33">
        <v>1.383</v>
      </c>
      <c r="S14" s="33">
        <v>1.8859999999999999</v>
      </c>
      <c r="T14" s="35">
        <v>2.6469999999999998</v>
      </c>
      <c r="U14" s="33">
        <v>4.1420000000000003</v>
      </c>
    </row>
    <row r="15" spans="1:21" ht="15.75" customHeight="1" x14ac:dyDescent="0.25">
      <c r="A15" s="4">
        <v>14</v>
      </c>
      <c r="B15" s="4">
        <v>8519483</v>
      </c>
      <c r="C15" s="5" t="s">
        <v>37</v>
      </c>
      <c r="D15" s="5" t="s">
        <v>36</v>
      </c>
      <c r="E15" s="5" t="s">
        <v>20</v>
      </c>
      <c r="F15" s="33">
        <v>13.634</v>
      </c>
      <c r="G15" s="33">
        <v>13.269</v>
      </c>
      <c r="H15" s="33">
        <v>58.787999999999997</v>
      </c>
      <c r="I15" s="33">
        <v>0.01</v>
      </c>
      <c r="J15" s="33">
        <v>-1.36</v>
      </c>
      <c r="K15" s="9">
        <v>23.904170000000001</v>
      </c>
      <c r="L15" s="9">
        <v>24.772929999999999</v>
      </c>
      <c r="M15" s="9">
        <v>25.841670000000001</v>
      </c>
      <c r="N15" s="34">
        <v>-3.0000000000000001E-3</v>
      </c>
      <c r="O15" s="33">
        <v>-1.7000000000000001E-2</v>
      </c>
      <c r="P15" s="35">
        <v>1.9770000000000001</v>
      </c>
      <c r="Q15" s="33">
        <v>8.5000000000000006E-2</v>
      </c>
      <c r="R15" s="33">
        <v>0.39600000000000002</v>
      </c>
      <c r="S15" s="33">
        <v>1.7709999999999999</v>
      </c>
      <c r="T15" s="35">
        <v>2.31</v>
      </c>
      <c r="U15" s="33">
        <v>3.54</v>
      </c>
    </row>
    <row r="16" spans="1:21" ht="15.75" customHeight="1" x14ac:dyDescent="0.25">
      <c r="A16" s="4">
        <v>15</v>
      </c>
      <c r="B16" s="4">
        <v>8531680</v>
      </c>
      <c r="C16" s="5" t="s">
        <v>38</v>
      </c>
      <c r="D16" s="5" t="s">
        <v>39</v>
      </c>
      <c r="E16" s="5" t="s">
        <v>20</v>
      </c>
      <c r="F16" s="33">
        <v>13.618</v>
      </c>
      <c r="G16" s="33">
        <v>13.025</v>
      </c>
      <c r="H16" s="33">
        <v>67.296000000000006</v>
      </c>
      <c r="I16" s="33">
        <v>5.5E-2</v>
      </c>
      <c r="J16" s="33">
        <v>-1.3320000000000001</v>
      </c>
      <c r="K16" s="9">
        <v>24.662500000000001</v>
      </c>
      <c r="L16" s="9">
        <v>25.768460000000001</v>
      </c>
      <c r="M16" s="9">
        <v>27.285799999999998</v>
      </c>
      <c r="N16" s="34">
        <v>-2E-3</v>
      </c>
      <c r="O16" s="33">
        <v>-1.4E-2</v>
      </c>
      <c r="P16" s="35">
        <v>3.4220000000000002</v>
      </c>
      <c r="Q16" s="33">
        <v>0.26400000000000001</v>
      </c>
      <c r="R16" s="33">
        <v>0.75700000000000001</v>
      </c>
      <c r="S16" s="33">
        <v>2.2909999999999999</v>
      </c>
      <c r="T16" s="35">
        <v>3.0470000000000002</v>
      </c>
      <c r="U16" s="33">
        <v>4.5860000000000003</v>
      </c>
    </row>
    <row r="17" spans="1:21" ht="15.75" customHeight="1" x14ac:dyDescent="0.25">
      <c r="A17" s="4">
        <v>16</v>
      </c>
      <c r="B17" s="4">
        <v>8534720</v>
      </c>
      <c r="C17" s="5" t="s">
        <v>40</v>
      </c>
      <c r="D17" s="5" t="s">
        <v>39</v>
      </c>
      <c r="E17" s="5" t="s">
        <v>20</v>
      </c>
      <c r="F17" s="33">
        <v>13.455</v>
      </c>
      <c r="G17" s="33">
        <v>13.5</v>
      </c>
      <c r="H17" s="33">
        <v>51.015999999999998</v>
      </c>
      <c r="I17" s="33">
        <v>-1.4E-2</v>
      </c>
      <c r="J17" s="33">
        <v>-1.252</v>
      </c>
      <c r="K17" s="9">
        <v>22.970829999999999</v>
      </c>
      <c r="L17" s="9">
        <v>24.008330000000001</v>
      </c>
      <c r="M17" s="9">
        <v>25.551670000000001</v>
      </c>
      <c r="N17" s="34">
        <v>-2E-3</v>
      </c>
      <c r="O17" s="33">
        <v>3.5000000000000003E-2</v>
      </c>
      <c r="P17" s="35">
        <v>3.161</v>
      </c>
      <c r="Q17" s="33">
        <v>-0.17799999999999999</v>
      </c>
      <c r="R17" s="33">
        <v>0.50900000000000001</v>
      </c>
      <c r="S17" s="33">
        <v>2.1859999999999999</v>
      </c>
      <c r="T17" s="35">
        <v>2.8119999999999998</v>
      </c>
      <c r="U17" s="33">
        <v>4.12</v>
      </c>
    </row>
    <row r="18" spans="1:21" ht="15.75" customHeight="1" x14ac:dyDescent="0.25">
      <c r="A18" s="4">
        <v>17</v>
      </c>
      <c r="B18" s="4">
        <v>8548989</v>
      </c>
      <c r="C18" s="5" t="s">
        <v>41</v>
      </c>
      <c r="D18" s="5" t="s">
        <v>42</v>
      </c>
      <c r="E18" s="5" t="s">
        <v>20</v>
      </c>
      <c r="F18" s="33">
        <v>14.082000000000001</v>
      </c>
      <c r="G18" s="33">
        <v>13.563000000000001</v>
      </c>
      <c r="H18" s="33">
        <v>83.206000000000003</v>
      </c>
      <c r="I18" s="33">
        <v>0.109</v>
      </c>
      <c r="J18" s="33">
        <v>-1.3759999999999999</v>
      </c>
      <c r="K18" s="9">
        <v>26.558330000000002</v>
      </c>
      <c r="L18" s="9">
        <v>27.835599999999999</v>
      </c>
      <c r="M18" s="9">
        <v>29.97025</v>
      </c>
      <c r="N18" s="34">
        <v>5.0000000000000001E-3</v>
      </c>
      <c r="O18" s="33">
        <v>-6.6000000000000003E-2</v>
      </c>
      <c r="P18" s="35">
        <v>4.4809999999999999</v>
      </c>
      <c r="Q18" s="33">
        <v>0.182</v>
      </c>
      <c r="R18" s="33">
        <v>0.26500000000000001</v>
      </c>
      <c r="S18" s="33">
        <v>2.7440000000000002</v>
      </c>
      <c r="T18" s="35">
        <v>3.5019999999999998</v>
      </c>
      <c r="U18" s="33">
        <v>5.1139999999999999</v>
      </c>
    </row>
    <row r="19" spans="1:21" ht="15.75" customHeight="1" x14ac:dyDescent="0.25">
      <c r="A19" s="4">
        <v>18</v>
      </c>
      <c r="B19" s="4">
        <v>8539094</v>
      </c>
      <c r="C19" s="5" t="s">
        <v>43</v>
      </c>
      <c r="D19" s="5" t="s">
        <v>39</v>
      </c>
      <c r="E19" s="5" t="s">
        <v>20</v>
      </c>
      <c r="F19" s="33">
        <v>13.756</v>
      </c>
      <c r="G19" s="33">
        <v>13.371</v>
      </c>
      <c r="H19" s="33">
        <v>82.858999999999995</v>
      </c>
      <c r="I19" s="33">
        <v>8.7999999999999995E-2</v>
      </c>
      <c r="J19" s="33">
        <v>-1.407</v>
      </c>
      <c r="K19" s="9">
        <v>26.08333</v>
      </c>
      <c r="L19" s="9">
        <v>27.41818</v>
      </c>
      <c r="M19" s="9">
        <v>28.98404</v>
      </c>
      <c r="N19" s="34">
        <v>-1E-3</v>
      </c>
      <c r="O19" s="33">
        <v>-1.4E-2</v>
      </c>
      <c r="P19" s="35">
        <v>3.8010000000000002</v>
      </c>
      <c r="Q19" s="33">
        <v>-2.1999999999999999E-2</v>
      </c>
      <c r="R19" s="33">
        <v>1.6E-2</v>
      </c>
      <c r="S19" s="33">
        <v>2.468</v>
      </c>
      <c r="T19" s="35">
        <v>3.1379999999999999</v>
      </c>
      <c r="U19" s="33">
        <v>4.4320000000000004</v>
      </c>
    </row>
    <row r="20" spans="1:21" ht="15.75" customHeight="1" x14ac:dyDescent="0.25">
      <c r="A20" s="4">
        <v>19</v>
      </c>
      <c r="B20" s="4">
        <v>8545240</v>
      </c>
      <c r="C20" s="5" t="s">
        <v>44</v>
      </c>
      <c r="D20" s="5" t="s">
        <v>42</v>
      </c>
      <c r="E20" s="5" t="s">
        <v>20</v>
      </c>
      <c r="F20" s="33">
        <v>14.35</v>
      </c>
      <c r="G20" s="33">
        <v>14.487</v>
      </c>
      <c r="H20" s="33">
        <v>78.694000000000003</v>
      </c>
      <c r="I20" s="33">
        <v>-8.9999999999999993E-3</v>
      </c>
      <c r="J20" s="33">
        <v>-1.4159999999999999</v>
      </c>
      <c r="K20" s="9">
        <v>25.934000000000001</v>
      </c>
      <c r="L20" s="9">
        <v>27.018239999999999</v>
      </c>
      <c r="M20" s="9">
        <v>28.322890000000001</v>
      </c>
      <c r="N20" s="34">
        <v>0</v>
      </c>
      <c r="O20" s="33">
        <v>3.3000000000000002E-2</v>
      </c>
      <c r="P20" s="35">
        <v>3.198</v>
      </c>
      <c r="Q20" s="33">
        <v>-0.09</v>
      </c>
      <c r="R20" s="33">
        <v>0.27100000000000002</v>
      </c>
      <c r="S20" s="33">
        <v>2.129</v>
      </c>
      <c r="T20" s="35">
        <v>2.7389999999999999</v>
      </c>
      <c r="U20" s="33">
        <v>4.2460000000000004</v>
      </c>
    </row>
    <row r="21" spans="1:21" ht="15.75" customHeight="1" x14ac:dyDescent="0.25">
      <c r="A21" s="4">
        <v>20</v>
      </c>
      <c r="B21" s="4">
        <v>8551910</v>
      </c>
      <c r="C21" s="5" t="s">
        <v>45</v>
      </c>
      <c r="D21" s="5" t="s">
        <v>46</v>
      </c>
      <c r="E21" s="5" t="s">
        <v>20</v>
      </c>
      <c r="F21" s="33">
        <v>14.99</v>
      </c>
      <c r="G21" s="33">
        <v>14.971</v>
      </c>
      <c r="H21" s="33">
        <v>84.334999999999994</v>
      </c>
      <c r="I21" s="33">
        <v>2E-3</v>
      </c>
      <c r="J21" s="33">
        <v>-1.387</v>
      </c>
      <c r="K21" s="9">
        <v>27.13608</v>
      </c>
      <c r="L21" s="9">
        <v>28.170829999999999</v>
      </c>
      <c r="M21" s="9">
        <v>29.574999999999999</v>
      </c>
      <c r="N21" s="34">
        <v>-5.0000000000000001E-3</v>
      </c>
      <c r="O21" s="33">
        <v>4.2999999999999997E-2</v>
      </c>
      <c r="P21" s="35">
        <v>2.7719999999999998</v>
      </c>
      <c r="Q21" s="33">
        <v>-0.14499999999999999</v>
      </c>
      <c r="R21" s="33">
        <v>0.42599999999999999</v>
      </c>
      <c r="S21" s="33">
        <v>2.0470000000000002</v>
      </c>
      <c r="T21" s="35">
        <v>2.5619999999999998</v>
      </c>
      <c r="U21" s="33">
        <v>3.8359999999999999</v>
      </c>
    </row>
    <row r="22" spans="1:21" ht="15.75" customHeight="1" x14ac:dyDescent="0.25">
      <c r="A22" s="4">
        <v>21</v>
      </c>
      <c r="B22" s="4">
        <v>8536110</v>
      </c>
      <c r="C22" s="5" t="s">
        <v>47</v>
      </c>
      <c r="D22" s="5" t="s">
        <v>39</v>
      </c>
      <c r="E22" s="5" t="s">
        <v>20</v>
      </c>
      <c r="F22" s="33">
        <v>14.802</v>
      </c>
      <c r="G22" s="33">
        <v>15.079000000000001</v>
      </c>
      <c r="H22" s="33">
        <v>60.273000000000003</v>
      </c>
      <c r="I22" s="33">
        <v>-0.14599999999999999</v>
      </c>
      <c r="J22" s="33">
        <v>-1.2749999999999999</v>
      </c>
      <c r="K22" s="9">
        <v>24.50367</v>
      </c>
      <c r="L22" s="9">
        <v>25.529170000000001</v>
      </c>
      <c r="M22" s="9">
        <v>27.14162</v>
      </c>
      <c r="N22" s="34">
        <v>-5.0000000000000001E-3</v>
      </c>
      <c r="O22" s="33">
        <v>-3.9E-2</v>
      </c>
      <c r="P22" s="35">
        <v>4.2460000000000004</v>
      </c>
      <c r="Q22" s="33">
        <v>0.22500000000000001</v>
      </c>
      <c r="R22" s="33">
        <v>0.747</v>
      </c>
      <c r="S22" s="33">
        <v>2.5550000000000002</v>
      </c>
      <c r="T22" s="35">
        <v>3.403</v>
      </c>
      <c r="U22" s="33">
        <v>5.4029999999999996</v>
      </c>
    </row>
    <row r="23" spans="1:21" ht="15.75" customHeight="1" x14ac:dyDescent="0.25">
      <c r="A23" s="4">
        <v>22</v>
      </c>
      <c r="B23" s="4">
        <v>8557380</v>
      </c>
      <c r="C23" s="5" t="s">
        <v>48</v>
      </c>
      <c r="D23" s="5" t="s">
        <v>46</v>
      </c>
      <c r="E23" s="5" t="s">
        <v>20</v>
      </c>
      <c r="F23" s="33">
        <v>14.237</v>
      </c>
      <c r="G23" s="33">
        <v>14.335000000000001</v>
      </c>
      <c r="H23" s="33">
        <v>55.783000000000001</v>
      </c>
      <c r="I23" s="33">
        <v>-0.105</v>
      </c>
      <c r="J23" s="33">
        <v>-1.321</v>
      </c>
      <c r="K23" s="9">
        <v>23.652259999999998</v>
      </c>
      <c r="L23" s="9">
        <v>24.534579999999998</v>
      </c>
      <c r="M23" s="9">
        <v>25.748539999999998</v>
      </c>
      <c r="N23" s="34">
        <v>-2E-3</v>
      </c>
      <c r="O23" s="33">
        <v>2.5999999999999999E-2</v>
      </c>
      <c r="P23" s="35">
        <v>2.9089999999999998</v>
      </c>
      <c r="Q23" s="33">
        <v>0.02</v>
      </c>
      <c r="R23" s="33">
        <v>1.0589999999999999</v>
      </c>
      <c r="S23" s="33">
        <v>2.0739999999999998</v>
      </c>
      <c r="T23" s="35">
        <v>2.7029999999999998</v>
      </c>
      <c r="U23" s="33">
        <v>4.2560000000000002</v>
      </c>
    </row>
    <row r="24" spans="1:21" ht="15.75" customHeight="1" x14ac:dyDescent="0.25">
      <c r="A24" s="4">
        <v>23</v>
      </c>
      <c r="B24" s="4">
        <v>8573927</v>
      </c>
      <c r="C24" s="5" t="s">
        <v>49</v>
      </c>
      <c r="D24" s="5" t="s">
        <v>50</v>
      </c>
      <c r="E24" s="5" t="s">
        <v>20</v>
      </c>
      <c r="F24" s="33">
        <v>15.641</v>
      </c>
      <c r="G24" s="33">
        <v>15.824999999999999</v>
      </c>
      <c r="H24" s="33">
        <v>89.981999999999999</v>
      </c>
      <c r="I24" s="33">
        <v>-6.8000000000000005E-2</v>
      </c>
      <c r="J24" s="33">
        <v>-1.3979999999999999</v>
      </c>
      <c r="K24" s="9">
        <v>27.837499999999999</v>
      </c>
      <c r="L24" s="9">
        <v>28.926670000000001</v>
      </c>
      <c r="M24" s="9">
        <v>30.172329999999999</v>
      </c>
      <c r="N24" s="34">
        <v>-6.0000000000000001E-3</v>
      </c>
      <c r="O24" s="33">
        <v>-1.7999999999999999E-2</v>
      </c>
      <c r="P24" s="35">
        <v>2.95</v>
      </c>
      <c r="Q24" s="33">
        <v>0.10100000000000001</v>
      </c>
      <c r="R24" s="33">
        <v>8.7999999999999995E-2</v>
      </c>
      <c r="S24" s="33">
        <v>2.2360000000000002</v>
      </c>
      <c r="T24" s="35">
        <v>2.7829999999999999</v>
      </c>
      <c r="U24" s="33">
        <v>4.1500000000000004</v>
      </c>
    </row>
    <row r="25" spans="1:21" ht="15.75" customHeight="1" x14ac:dyDescent="0.25">
      <c r="A25" s="4">
        <v>24</v>
      </c>
      <c r="B25" s="4">
        <v>8574680</v>
      </c>
      <c r="C25" s="5" t="s">
        <v>51</v>
      </c>
      <c r="D25" s="5" t="s">
        <v>50</v>
      </c>
      <c r="E25" s="5" t="s">
        <v>20</v>
      </c>
      <c r="F25" s="33">
        <v>15.946999999999999</v>
      </c>
      <c r="G25" s="33">
        <v>16.036999999999999</v>
      </c>
      <c r="H25" s="33">
        <v>74.56</v>
      </c>
      <c r="I25" s="33">
        <v>-5.5E-2</v>
      </c>
      <c r="J25" s="33">
        <v>-1.401</v>
      </c>
      <c r="K25" s="9">
        <v>27.101469999999999</v>
      </c>
      <c r="L25" s="9">
        <v>28.049890000000001</v>
      </c>
      <c r="M25" s="9">
        <v>29.37687</v>
      </c>
      <c r="N25" s="34">
        <v>-1E-3</v>
      </c>
      <c r="O25" s="33">
        <v>-8.0000000000000002E-3</v>
      </c>
      <c r="P25" s="35">
        <v>2.9</v>
      </c>
      <c r="Q25" s="33">
        <v>3.5999999999999997E-2</v>
      </c>
      <c r="R25" s="33">
        <v>0.29899999999999999</v>
      </c>
      <c r="S25" s="33">
        <v>2.1680000000000001</v>
      </c>
      <c r="T25" s="35">
        <v>2.7370000000000001</v>
      </c>
      <c r="U25" s="33">
        <v>3.9609999999999999</v>
      </c>
    </row>
    <row r="26" spans="1:21" ht="15.75" customHeight="1" x14ac:dyDescent="0.25">
      <c r="A26" s="4">
        <v>25</v>
      </c>
      <c r="B26" s="4">
        <v>8573364</v>
      </c>
      <c r="C26" s="5" t="s">
        <v>52</v>
      </c>
      <c r="D26" s="5" t="s">
        <v>50</v>
      </c>
      <c r="E26" s="5" t="s">
        <v>20</v>
      </c>
      <c r="F26" s="33">
        <v>14.912000000000001</v>
      </c>
      <c r="G26" s="33">
        <v>15.05</v>
      </c>
      <c r="H26" s="33">
        <v>83.436999999999998</v>
      </c>
      <c r="I26" s="33">
        <v>-3.6999999999999998E-2</v>
      </c>
      <c r="J26" s="33">
        <v>-1.365</v>
      </c>
      <c r="K26" s="9">
        <v>26.855419999999999</v>
      </c>
      <c r="L26" s="9">
        <v>28.00271</v>
      </c>
      <c r="M26" s="9">
        <v>29.529419999999998</v>
      </c>
      <c r="N26" s="34">
        <v>-4.0000000000000001E-3</v>
      </c>
      <c r="O26" s="33">
        <v>1.7000000000000001E-2</v>
      </c>
      <c r="P26" s="35">
        <v>3.7709999999999999</v>
      </c>
      <c r="Q26" s="33">
        <v>-5.7000000000000002E-2</v>
      </c>
      <c r="R26" s="33">
        <v>-7.6999999999999999E-2</v>
      </c>
      <c r="S26" s="33">
        <v>2.484</v>
      </c>
      <c r="T26" s="35">
        <v>3.07</v>
      </c>
      <c r="U26" s="33">
        <v>4.2169999999999996</v>
      </c>
    </row>
    <row r="27" spans="1:21" ht="15.75" customHeight="1" x14ac:dyDescent="0.25">
      <c r="A27" s="4">
        <v>26</v>
      </c>
      <c r="B27" s="4">
        <v>8594900</v>
      </c>
      <c r="C27" s="5" t="s">
        <v>53</v>
      </c>
      <c r="D27" s="5" t="s">
        <v>54</v>
      </c>
      <c r="E27" s="5" t="s">
        <v>20</v>
      </c>
      <c r="F27" s="33">
        <v>16.135000000000002</v>
      </c>
      <c r="G27" s="33">
        <v>16.582000000000001</v>
      </c>
      <c r="H27" s="33">
        <v>82.856999999999999</v>
      </c>
      <c r="I27" s="33">
        <v>-5.5E-2</v>
      </c>
      <c r="J27" s="33">
        <v>-1.371</v>
      </c>
      <c r="K27" s="9">
        <v>27.984169999999999</v>
      </c>
      <c r="L27" s="9">
        <v>29.09854</v>
      </c>
      <c r="M27" s="9">
        <v>30.40457</v>
      </c>
      <c r="N27" s="34">
        <v>-1E-3</v>
      </c>
      <c r="O27" s="33">
        <v>1.7999999999999999E-2</v>
      </c>
      <c r="P27" s="35">
        <v>3.6890000000000001</v>
      </c>
      <c r="Q27" s="33">
        <v>0.129</v>
      </c>
      <c r="R27" s="33">
        <v>0.33200000000000002</v>
      </c>
      <c r="S27" s="33">
        <v>2.359</v>
      </c>
      <c r="T27" s="35">
        <v>3.0960000000000001</v>
      </c>
      <c r="U27" s="33">
        <v>4.8250000000000002</v>
      </c>
    </row>
    <row r="28" spans="1:21" ht="15.75" customHeight="1" x14ac:dyDescent="0.25">
      <c r="A28" s="4">
        <v>27</v>
      </c>
      <c r="B28" s="4">
        <v>8577330</v>
      </c>
      <c r="C28" s="5" t="s">
        <v>55</v>
      </c>
      <c r="D28" s="5" t="s">
        <v>50</v>
      </c>
      <c r="E28" s="5" t="s">
        <v>20</v>
      </c>
      <c r="F28" s="33">
        <v>15.968</v>
      </c>
      <c r="G28" s="33">
        <v>16.225000000000001</v>
      </c>
      <c r="H28" s="33">
        <v>75.814999999999998</v>
      </c>
      <c r="I28" s="33">
        <v>-7.6999999999999999E-2</v>
      </c>
      <c r="J28" s="33">
        <v>-1.371</v>
      </c>
      <c r="K28" s="9">
        <v>27.254169999999998</v>
      </c>
      <c r="L28" s="9">
        <v>28.13063</v>
      </c>
      <c r="M28" s="9">
        <v>29.261959999999998</v>
      </c>
      <c r="N28" s="34">
        <v>-5.0000000000000001E-3</v>
      </c>
      <c r="O28" s="33">
        <v>0.152</v>
      </c>
      <c r="P28" s="35">
        <v>2.944</v>
      </c>
      <c r="Q28" s="33">
        <v>-0.503</v>
      </c>
      <c r="R28" s="33">
        <v>0.55900000000000005</v>
      </c>
      <c r="S28" s="33">
        <v>2.0379999999999998</v>
      </c>
      <c r="T28" s="35">
        <v>2.5419999999999998</v>
      </c>
      <c r="U28" s="33">
        <v>3.5840000000000001</v>
      </c>
    </row>
    <row r="29" spans="1:21" ht="15.75" customHeight="1" x14ac:dyDescent="0.25">
      <c r="A29" s="4">
        <v>28</v>
      </c>
      <c r="B29" s="4">
        <v>8635750</v>
      </c>
      <c r="C29" s="5" t="s">
        <v>56</v>
      </c>
      <c r="D29" s="5" t="s">
        <v>57</v>
      </c>
      <c r="E29" s="5" t="s">
        <v>20</v>
      </c>
      <c r="F29" s="33">
        <v>16.222000000000001</v>
      </c>
      <c r="G29" s="33">
        <v>16.448</v>
      </c>
      <c r="H29" s="33">
        <v>76.84</v>
      </c>
      <c r="I29" s="33">
        <v>-7.5999999999999998E-2</v>
      </c>
      <c r="J29" s="33">
        <v>-1.2989999999999999</v>
      </c>
      <c r="K29" s="9">
        <v>27.587499999999999</v>
      </c>
      <c r="L29" s="9">
        <v>28.670829999999999</v>
      </c>
      <c r="M29" s="9">
        <v>30.26099</v>
      </c>
      <c r="N29" s="34">
        <v>-5.0000000000000001E-3</v>
      </c>
      <c r="O29" s="33">
        <v>0.02</v>
      </c>
      <c r="P29" s="35">
        <v>4.5599999999999996</v>
      </c>
      <c r="Q29" s="33">
        <v>-0.03</v>
      </c>
      <c r="R29" s="33">
        <v>0.223</v>
      </c>
      <c r="S29" s="33">
        <v>2.6589999999999998</v>
      </c>
      <c r="T29" s="35">
        <v>3.4430000000000001</v>
      </c>
      <c r="U29" s="33">
        <v>5.18</v>
      </c>
    </row>
    <row r="30" spans="1:21" ht="15.75" customHeight="1" x14ac:dyDescent="0.25">
      <c r="A30" s="4">
        <v>29</v>
      </c>
      <c r="B30" s="4">
        <v>8632200</v>
      </c>
      <c r="C30" s="5" t="s">
        <v>58</v>
      </c>
      <c r="D30" s="5" t="s">
        <v>57</v>
      </c>
      <c r="E30" s="5" t="s">
        <v>20</v>
      </c>
      <c r="F30" s="33">
        <v>16.056000000000001</v>
      </c>
      <c r="G30" s="33">
        <v>16.010000000000002</v>
      </c>
      <c r="H30" s="33">
        <v>62.545000000000002</v>
      </c>
      <c r="I30" s="33">
        <v>-6.4000000000000001E-2</v>
      </c>
      <c r="J30" s="33">
        <v>-1.333</v>
      </c>
      <c r="K30" s="9">
        <v>26.250710000000002</v>
      </c>
      <c r="L30" s="9">
        <v>27.130420000000001</v>
      </c>
      <c r="M30" s="9">
        <v>28.615539999999999</v>
      </c>
      <c r="N30" s="34">
        <v>-1E-3</v>
      </c>
      <c r="O30" s="33">
        <v>1.4E-2</v>
      </c>
      <c r="P30" s="35">
        <v>3.4039999999999999</v>
      </c>
      <c r="Q30" s="33">
        <v>-2.1000000000000001E-2</v>
      </c>
      <c r="R30" s="33">
        <v>0.28999999999999998</v>
      </c>
      <c r="S30" s="33">
        <v>2.2450000000000001</v>
      </c>
      <c r="T30" s="35">
        <v>2.972</v>
      </c>
      <c r="U30" s="33">
        <v>4.5410000000000004</v>
      </c>
    </row>
    <row r="31" spans="1:21" ht="15.75" customHeight="1" x14ac:dyDescent="0.25">
      <c r="A31" s="4">
        <v>30</v>
      </c>
      <c r="B31" s="4">
        <v>8637689</v>
      </c>
      <c r="C31" s="5" t="s">
        <v>59</v>
      </c>
      <c r="D31" s="5" t="s">
        <v>57</v>
      </c>
      <c r="E31" s="5" t="s">
        <v>20</v>
      </c>
      <c r="F31" s="33">
        <v>17.068999999999999</v>
      </c>
      <c r="G31" s="33">
        <v>17.227</v>
      </c>
      <c r="H31" s="33">
        <v>68.353999999999999</v>
      </c>
      <c r="I31" s="33">
        <v>-7.5999999999999998E-2</v>
      </c>
      <c r="J31" s="33">
        <v>-1.367</v>
      </c>
      <c r="K31" s="9">
        <v>27.56101</v>
      </c>
      <c r="L31" s="9">
        <v>28.410679999999999</v>
      </c>
      <c r="M31" s="9">
        <v>29.848330000000001</v>
      </c>
      <c r="N31" s="34">
        <v>-2E-3</v>
      </c>
      <c r="O31" s="33">
        <v>1E-3</v>
      </c>
      <c r="P31" s="35">
        <v>2.4990000000000001</v>
      </c>
      <c r="Q31" s="33">
        <v>-1.4999999999999999E-2</v>
      </c>
      <c r="R31" s="33">
        <v>0.97099999999999997</v>
      </c>
      <c r="S31" s="33">
        <v>1.9410000000000001</v>
      </c>
      <c r="T31" s="35">
        <v>2.5640000000000001</v>
      </c>
      <c r="U31" s="33">
        <v>3.98</v>
      </c>
    </row>
    <row r="32" spans="1:21" ht="15.75" customHeight="1" x14ac:dyDescent="0.25">
      <c r="A32" s="4">
        <v>31</v>
      </c>
      <c r="B32" s="4">
        <v>8638863</v>
      </c>
      <c r="C32" s="5" t="s">
        <v>60</v>
      </c>
      <c r="D32" s="5" t="s">
        <v>57</v>
      </c>
      <c r="E32" s="5" t="s">
        <v>20</v>
      </c>
      <c r="F32" s="33">
        <v>15.853</v>
      </c>
      <c r="G32" s="33">
        <v>15.987</v>
      </c>
      <c r="H32" s="33">
        <v>57.052999999999997</v>
      </c>
      <c r="I32" s="33">
        <v>-0.107</v>
      </c>
      <c r="J32" s="33">
        <v>-1.369</v>
      </c>
      <c r="K32" s="9">
        <v>25.39554</v>
      </c>
      <c r="L32" s="9">
        <v>26.078939999999999</v>
      </c>
      <c r="M32" s="9">
        <v>27.15</v>
      </c>
      <c r="N32" s="34">
        <v>1E-3</v>
      </c>
      <c r="O32" s="33">
        <v>-2.3E-2</v>
      </c>
      <c r="P32" s="35">
        <v>2.4049999999999998</v>
      </c>
      <c r="Q32" s="33">
        <v>0.10199999999999999</v>
      </c>
      <c r="R32" s="33">
        <v>0.78400000000000003</v>
      </c>
      <c r="S32" s="33">
        <v>1.9179999999999999</v>
      </c>
      <c r="T32" s="35">
        <v>2.4359999999999999</v>
      </c>
      <c r="U32" s="33">
        <v>3.9449999999999998</v>
      </c>
    </row>
    <row r="33" spans="1:21" ht="15.75" customHeight="1" x14ac:dyDescent="0.25">
      <c r="A33" s="4">
        <v>32</v>
      </c>
      <c r="B33" s="4">
        <v>8631044</v>
      </c>
      <c r="C33" s="5" t="s">
        <v>61</v>
      </c>
      <c r="D33" s="5" t="s">
        <v>57</v>
      </c>
      <c r="E33" s="5" t="s">
        <v>20</v>
      </c>
      <c r="F33" s="33">
        <v>16.533999999999999</v>
      </c>
      <c r="G33" s="33">
        <v>16.545999999999999</v>
      </c>
      <c r="H33" s="33">
        <v>71.319000000000003</v>
      </c>
      <c r="I33" s="33">
        <v>-7.0000000000000007E-2</v>
      </c>
      <c r="J33" s="33">
        <v>-1.262</v>
      </c>
      <c r="K33" s="9">
        <v>27.518280000000001</v>
      </c>
      <c r="L33" s="9">
        <v>28.656669999999998</v>
      </c>
      <c r="M33" s="9">
        <v>30.22917</v>
      </c>
      <c r="N33" s="34">
        <v>-3.0000000000000001E-3</v>
      </c>
      <c r="O33" s="33">
        <v>8.9999999999999993E-3</v>
      </c>
      <c r="P33" s="35">
        <v>5.7329999999999997</v>
      </c>
      <c r="Q33" s="33">
        <v>-6.2E-2</v>
      </c>
      <c r="R33" s="33">
        <v>0.214</v>
      </c>
      <c r="S33" s="33">
        <v>2.97</v>
      </c>
      <c r="T33" s="35">
        <v>3.8919999999999999</v>
      </c>
      <c r="U33" s="33">
        <v>5.6</v>
      </c>
    </row>
    <row r="34" spans="1:21" ht="15.75" customHeight="1" x14ac:dyDescent="0.25">
      <c r="A34" s="4">
        <v>33</v>
      </c>
      <c r="B34" s="4">
        <v>8651370</v>
      </c>
      <c r="C34" s="5" t="s">
        <v>62</v>
      </c>
      <c r="D34" s="5" t="s">
        <v>63</v>
      </c>
      <c r="E34" s="5" t="s">
        <v>64</v>
      </c>
      <c r="F34" s="33">
        <v>15.394</v>
      </c>
      <c r="G34" s="33">
        <v>15.346</v>
      </c>
      <c r="H34" s="33">
        <v>42.566000000000003</v>
      </c>
      <c r="I34" s="33">
        <v>-8.0000000000000002E-3</v>
      </c>
      <c r="J34" s="33">
        <v>-1.1879999999999999</v>
      </c>
      <c r="K34" s="9">
        <v>24.241669999999999</v>
      </c>
      <c r="L34" s="9">
        <v>25.20833</v>
      </c>
      <c r="M34" s="9">
        <v>26.61083</v>
      </c>
      <c r="N34" s="34">
        <v>0</v>
      </c>
      <c r="O34" s="33">
        <v>7.4999999999999997E-2</v>
      </c>
      <c r="P34" s="35">
        <v>4.5860000000000003</v>
      </c>
      <c r="Q34" s="33">
        <v>-0.26700000000000002</v>
      </c>
      <c r="R34" s="33">
        <v>0.70299999999999996</v>
      </c>
      <c r="S34" s="33">
        <v>2.569</v>
      </c>
      <c r="T34" s="35">
        <v>3.2810000000000001</v>
      </c>
      <c r="U34" s="33">
        <v>4.8570000000000002</v>
      </c>
    </row>
    <row r="35" spans="1:21" ht="15.75" customHeight="1" x14ac:dyDescent="0.25">
      <c r="A35" s="4">
        <v>34</v>
      </c>
      <c r="B35" s="4">
        <v>8652587</v>
      </c>
      <c r="C35" s="5" t="s">
        <v>65</v>
      </c>
      <c r="D35" s="5" t="s">
        <v>63</v>
      </c>
      <c r="E35" s="5" t="s">
        <v>64</v>
      </c>
      <c r="F35" s="33">
        <v>17.809999999999999</v>
      </c>
      <c r="G35" s="33">
        <v>18.108000000000001</v>
      </c>
      <c r="H35" s="33">
        <v>56.527000000000001</v>
      </c>
      <c r="I35" s="33">
        <v>-0.16</v>
      </c>
      <c r="J35" s="33">
        <v>-1.141</v>
      </c>
      <c r="K35" s="9">
        <v>27.45</v>
      </c>
      <c r="L35" s="9">
        <v>28.608329999999999</v>
      </c>
      <c r="M35" s="9">
        <v>29.917919999999999</v>
      </c>
      <c r="N35" s="34">
        <v>-3.0000000000000001E-3</v>
      </c>
      <c r="O35" s="33">
        <v>9.2999999999999999E-2</v>
      </c>
      <c r="P35" s="35">
        <v>7.5650000000000004</v>
      </c>
      <c r="Q35" s="33">
        <v>-0.16200000000000001</v>
      </c>
      <c r="R35" s="33">
        <v>0.17599999999999999</v>
      </c>
      <c r="S35" s="33">
        <v>3.379</v>
      </c>
      <c r="T35" s="35">
        <v>4.298</v>
      </c>
      <c r="U35" s="33">
        <v>6.5010000000000003</v>
      </c>
    </row>
    <row r="36" spans="1:21" ht="15.75" customHeight="1" x14ac:dyDescent="0.25">
      <c r="A36" s="4">
        <v>35</v>
      </c>
      <c r="B36" s="4">
        <v>8658120</v>
      </c>
      <c r="C36" s="5" t="s">
        <v>66</v>
      </c>
      <c r="D36" s="5" t="s">
        <v>63</v>
      </c>
      <c r="E36" s="5" t="s">
        <v>64</v>
      </c>
      <c r="F36" s="33">
        <v>19.62</v>
      </c>
      <c r="G36" s="33">
        <v>20.347999999999999</v>
      </c>
      <c r="H36" s="33">
        <v>55.45</v>
      </c>
      <c r="I36" s="33">
        <v>-0.248</v>
      </c>
      <c r="J36" s="33">
        <v>-1.1919999999999999</v>
      </c>
      <c r="K36" s="9">
        <v>28.800419999999999</v>
      </c>
      <c r="L36" s="9">
        <v>29.754169999999998</v>
      </c>
      <c r="M36" s="9">
        <v>30.83671</v>
      </c>
      <c r="N36" s="34">
        <v>-8.9999999999999993E-3</v>
      </c>
      <c r="O36" s="33">
        <v>-1.4999999999999999E-2</v>
      </c>
      <c r="P36" s="35">
        <v>4.3650000000000002</v>
      </c>
      <c r="Q36" s="33">
        <v>0.38200000000000001</v>
      </c>
      <c r="R36" s="33">
        <v>1.2110000000000001</v>
      </c>
      <c r="S36" s="33">
        <v>2.3660000000000001</v>
      </c>
      <c r="T36" s="35">
        <v>3.2370000000000001</v>
      </c>
      <c r="U36" s="33">
        <v>6.1630000000000003</v>
      </c>
    </row>
    <row r="37" spans="1:21" ht="15.75" customHeight="1" x14ac:dyDescent="0.25">
      <c r="A37" s="4">
        <v>36</v>
      </c>
      <c r="B37" s="4">
        <v>8665530</v>
      </c>
      <c r="C37" s="5" t="s">
        <v>67</v>
      </c>
      <c r="D37" s="5" t="s">
        <v>68</v>
      </c>
      <c r="E37" s="5" t="s">
        <v>64</v>
      </c>
      <c r="F37" s="33">
        <v>21.189</v>
      </c>
      <c r="G37" s="33">
        <v>21.61</v>
      </c>
      <c r="H37" s="33">
        <v>46.414999999999999</v>
      </c>
      <c r="I37" s="33">
        <v>-0.13800000000000001</v>
      </c>
      <c r="J37" s="33">
        <v>-1.3180000000000001</v>
      </c>
      <c r="K37" s="9">
        <v>29.558330000000002</v>
      </c>
      <c r="L37" s="9">
        <v>30.2</v>
      </c>
      <c r="M37" s="9">
        <v>31.935960000000001</v>
      </c>
      <c r="N37" s="34">
        <v>-1E-3</v>
      </c>
      <c r="O37" s="33">
        <v>-4.8000000000000001E-2</v>
      </c>
      <c r="P37" s="35">
        <v>2.7120000000000002</v>
      </c>
      <c r="Q37" s="33">
        <v>0.18</v>
      </c>
      <c r="R37" s="33">
        <v>1.474</v>
      </c>
      <c r="S37" s="33">
        <v>1.9810000000000001</v>
      </c>
      <c r="T37" s="35">
        <v>2.7490000000000001</v>
      </c>
      <c r="U37" s="33">
        <v>4.2190000000000003</v>
      </c>
    </row>
    <row r="38" spans="1:21" ht="15" x14ac:dyDescent="0.25">
      <c r="A38" s="4">
        <v>37</v>
      </c>
      <c r="B38" s="4">
        <v>8721604</v>
      </c>
      <c r="C38" s="5" t="s">
        <v>69</v>
      </c>
      <c r="D38" s="5" t="s">
        <v>70</v>
      </c>
      <c r="E38" s="5" t="s">
        <v>64</v>
      </c>
      <c r="F38" s="33">
        <v>24.815999999999999</v>
      </c>
      <c r="G38" s="33">
        <v>25.404</v>
      </c>
      <c r="H38" s="33">
        <v>16.109000000000002</v>
      </c>
      <c r="I38" s="33">
        <v>-0.39600000000000002</v>
      </c>
      <c r="J38" s="33">
        <v>-0.66</v>
      </c>
      <c r="K38" s="9">
        <v>29.570830000000001</v>
      </c>
      <c r="L38" s="9">
        <v>30.20063</v>
      </c>
      <c r="M38" s="9">
        <v>31.65249</v>
      </c>
      <c r="N38" s="34">
        <v>-3.0000000000000001E-3</v>
      </c>
      <c r="O38" s="33">
        <v>0.01</v>
      </c>
      <c r="P38" s="35">
        <v>3.4780000000000002</v>
      </c>
      <c r="Q38" s="33">
        <v>9.9000000000000005E-2</v>
      </c>
      <c r="R38" s="33">
        <v>1.407</v>
      </c>
      <c r="S38" s="33">
        <v>2.266</v>
      </c>
      <c r="T38" s="35">
        <v>3</v>
      </c>
      <c r="U38" s="33">
        <v>4.8250000000000002</v>
      </c>
    </row>
    <row r="39" spans="1:21" ht="15" x14ac:dyDescent="0.25">
      <c r="A39" s="4">
        <v>38</v>
      </c>
      <c r="B39" s="4">
        <v>8723970</v>
      </c>
      <c r="C39" s="5" t="s">
        <v>71</v>
      </c>
      <c r="D39" s="5" t="s">
        <v>70</v>
      </c>
      <c r="E39" s="5" t="s">
        <v>64</v>
      </c>
      <c r="F39" s="33">
        <v>27.567</v>
      </c>
      <c r="G39" s="33">
        <v>28.096</v>
      </c>
      <c r="H39" s="33">
        <v>16.533000000000001</v>
      </c>
      <c r="I39" s="33">
        <v>-0.47</v>
      </c>
      <c r="J39" s="33">
        <v>-0.50700000000000001</v>
      </c>
      <c r="K39" s="9">
        <v>32.297499999999999</v>
      </c>
      <c r="L39" s="9">
        <v>32.891669999999998</v>
      </c>
      <c r="M39" s="9">
        <v>34.379649999999998</v>
      </c>
      <c r="N39" s="34">
        <v>-1E-3</v>
      </c>
      <c r="O39" s="33">
        <v>0.08</v>
      </c>
      <c r="P39" s="35">
        <v>3.91</v>
      </c>
      <c r="Q39" s="33">
        <v>-0.104</v>
      </c>
      <c r="R39" s="33">
        <v>1.224</v>
      </c>
      <c r="S39" s="33">
        <v>2.359</v>
      </c>
      <c r="T39" s="35">
        <v>3.0939999999999999</v>
      </c>
      <c r="U39" s="33">
        <v>4.7809999999999997</v>
      </c>
    </row>
    <row r="40" spans="1:21" ht="15" x14ac:dyDescent="0.25">
      <c r="A40" s="4">
        <v>39</v>
      </c>
      <c r="B40" s="4">
        <v>8724580</v>
      </c>
      <c r="C40" s="5" t="s">
        <v>72</v>
      </c>
      <c r="D40" s="5" t="s">
        <v>70</v>
      </c>
      <c r="E40" s="5" t="s">
        <v>64</v>
      </c>
      <c r="F40" s="33">
        <v>26.914999999999999</v>
      </c>
      <c r="G40" s="33">
        <v>27.183</v>
      </c>
      <c r="H40" s="33">
        <v>12.499000000000001</v>
      </c>
      <c r="I40" s="33">
        <v>-0.33200000000000002</v>
      </c>
      <c r="J40" s="33">
        <v>-0.86099999999999999</v>
      </c>
      <c r="K40" s="9">
        <v>31.237500000000001</v>
      </c>
      <c r="L40" s="9">
        <v>31.737580000000001</v>
      </c>
      <c r="M40" s="9">
        <v>32.647500000000001</v>
      </c>
      <c r="N40" s="34">
        <v>-8.0000000000000002E-3</v>
      </c>
      <c r="O40" s="33">
        <v>0.05</v>
      </c>
      <c r="P40" s="35">
        <v>2.2240000000000002</v>
      </c>
      <c r="Q40" s="33">
        <v>-0.192</v>
      </c>
      <c r="R40" s="33">
        <v>0.59299999999999997</v>
      </c>
      <c r="S40" s="33">
        <v>1.8129999999999999</v>
      </c>
      <c r="T40" s="35">
        <v>2.3260000000000001</v>
      </c>
      <c r="U40" s="33">
        <v>3.5819999999999999</v>
      </c>
    </row>
    <row r="41" spans="1:21" ht="15" x14ac:dyDescent="0.25">
      <c r="A41" s="4">
        <v>40</v>
      </c>
      <c r="B41" s="4">
        <v>8725520</v>
      </c>
      <c r="C41" s="5" t="s">
        <v>73</v>
      </c>
      <c r="D41" s="5" t="s">
        <v>70</v>
      </c>
      <c r="E41" s="5" t="s">
        <v>74</v>
      </c>
      <c r="F41" s="33">
        <v>25.81</v>
      </c>
      <c r="G41" s="33">
        <v>26.524999999999999</v>
      </c>
      <c r="H41" s="33">
        <v>20.132000000000001</v>
      </c>
      <c r="I41" s="33">
        <v>-0.498</v>
      </c>
      <c r="J41" s="33">
        <v>-0.65200000000000002</v>
      </c>
      <c r="K41" s="9">
        <v>31.020489999999999</v>
      </c>
      <c r="L41" s="9">
        <v>31.65</v>
      </c>
      <c r="M41" s="9">
        <v>32.683079999999997</v>
      </c>
      <c r="N41" s="34">
        <v>-1.2E-2</v>
      </c>
      <c r="O41" s="33">
        <v>5.7000000000000002E-2</v>
      </c>
      <c r="P41" s="35">
        <v>3.923</v>
      </c>
      <c r="Q41" s="33">
        <v>-0.27600000000000002</v>
      </c>
      <c r="R41" s="33">
        <v>0.67100000000000004</v>
      </c>
      <c r="S41" s="33">
        <v>2.4020000000000001</v>
      </c>
      <c r="T41" s="35">
        <v>3.21</v>
      </c>
      <c r="U41" s="33">
        <v>4.532</v>
      </c>
    </row>
    <row r="42" spans="1:21" ht="15" x14ac:dyDescent="0.25">
      <c r="A42" s="4">
        <v>41</v>
      </c>
      <c r="B42" s="4">
        <v>8726724</v>
      </c>
      <c r="C42" s="5" t="s">
        <v>75</v>
      </c>
      <c r="D42" s="5" t="s">
        <v>70</v>
      </c>
      <c r="E42" s="5" t="s">
        <v>74</v>
      </c>
      <c r="F42" s="33">
        <v>24.565000000000001</v>
      </c>
      <c r="G42" s="33">
        <v>25.071000000000002</v>
      </c>
      <c r="H42" s="33">
        <v>32.68</v>
      </c>
      <c r="I42" s="33">
        <v>-0.24099999999999999</v>
      </c>
      <c r="J42" s="33">
        <v>-1.0069999999999999</v>
      </c>
      <c r="K42" s="9">
        <v>31.320830000000001</v>
      </c>
      <c r="L42" s="9">
        <v>32.1</v>
      </c>
      <c r="M42" s="9">
        <v>34.053379999999997</v>
      </c>
      <c r="N42" s="34">
        <v>3.0000000000000001E-3</v>
      </c>
      <c r="O42" s="33">
        <v>-4.5999999999999999E-2</v>
      </c>
      <c r="P42" s="35">
        <v>4.2080000000000002</v>
      </c>
      <c r="Q42" s="33">
        <v>0.15</v>
      </c>
      <c r="R42" s="33">
        <v>0.86699999999999999</v>
      </c>
      <c r="S42" s="33">
        <v>2.5590000000000002</v>
      </c>
      <c r="T42" s="35">
        <v>3.5310000000000001</v>
      </c>
      <c r="U42" s="33">
        <v>5.4790000000000001</v>
      </c>
    </row>
    <row r="43" spans="1:21" ht="15" x14ac:dyDescent="0.25">
      <c r="A43" s="4">
        <v>42</v>
      </c>
      <c r="B43" s="4">
        <v>8728690</v>
      </c>
      <c r="C43" s="5" t="s">
        <v>76</v>
      </c>
      <c r="D43" s="5" t="s">
        <v>70</v>
      </c>
      <c r="E43" s="5" t="s">
        <v>74</v>
      </c>
      <c r="F43" s="33">
        <v>22.062999999999999</v>
      </c>
      <c r="G43" s="33">
        <v>22.74</v>
      </c>
      <c r="H43" s="33">
        <v>41.023000000000003</v>
      </c>
      <c r="I43" s="33">
        <v>-0.312</v>
      </c>
      <c r="J43" s="33">
        <v>-1.0720000000000001</v>
      </c>
      <c r="K43" s="9">
        <v>29.875</v>
      </c>
      <c r="L43" s="9">
        <v>30.570830000000001</v>
      </c>
      <c r="M43" s="9">
        <v>31.834119999999999</v>
      </c>
      <c r="N43" s="34">
        <v>-1.2E-2</v>
      </c>
      <c r="O43" s="33">
        <v>1.9E-2</v>
      </c>
      <c r="P43" s="35">
        <v>4.0880000000000001</v>
      </c>
      <c r="Q43" s="33">
        <v>-1.7999999999999999E-2</v>
      </c>
      <c r="R43" s="33">
        <v>0.4</v>
      </c>
      <c r="S43" s="33">
        <v>2.4940000000000002</v>
      </c>
      <c r="T43" s="35">
        <v>3.3159999999999998</v>
      </c>
      <c r="U43" s="33">
        <v>5.1459999999999999</v>
      </c>
    </row>
    <row r="44" spans="1:21" ht="15" x14ac:dyDescent="0.25">
      <c r="A44" s="4">
        <v>43</v>
      </c>
      <c r="B44" s="4">
        <v>8729108</v>
      </c>
      <c r="C44" s="5" t="s">
        <v>77</v>
      </c>
      <c r="D44" s="5" t="s">
        <v>70</v>
      </c>
      <c r="E44" s="5" t="s">
        <v>74</v>
      </c>
      <c r="F44" s="33">
        <v>23.792000000000002</v>
      </c>
      <c r="G44" s="33">
        <v>24.427</v>
      </c>
      <c r="H44" s="33">
        <v>33.610999999999997</v>
      </c>
      <c r="I44" s="33">
        <v>-0.26100000000000001</v>
      </c>
      <c r="J44" s="33">
        <v>-1.2549999999999999</v>
      </c>
      <c r="K44" s="9">
        <v>30.80292</v>
      </c>
      <c r="L44" s="9">
        <v>31.34938</v>
      </c>
      <c r="M44" s="9">
        <v>32.11571</v>
      </c>
      <c r="N44" s="34">
        <v>3.0000000000000001E-3</v>
      </c>
      <c r="O44" s="33">
        <v>2.5999999999999999E-2</v>
      </c>
      <c r="P44" s="35">
        <v>2.3119999999999998</v>
      </c>
      <c r="Q44" s="33">
        <v>9.9000000000000005E-2</v>
      </c>
      <c r="R44" s="33">
        <v>0.56799999999999995</v>
      </c>
      <c r="S44" s="33">
        <v>1.825</v>
      </c>
      <c r="T44" s="35">
        <v>2.4809999999999999</v>
      </c>
      <c r="U44" s="33">
        <v>3.956</v>
      </c>
    </row>
    <row r="45" spans="1:21" ht="15" x14ac:dyDescent="0.25">
      <c r="A45" s="4">
        <v>44</v>
      </c>
      <c r="B45" s="4">
        <v>8729210</v>
      </c>
      <c r="C45" s="5" t="s">
        <v>78</v>
      </c>
      <c r="D45" s="5" t="s">
        <v>70</v>
      </c>
      <c r="E45" s="5" t="s">
        <v>74</v>
      </c>
      <c r="F45" s="33">
        <v>22.827999999999999</v>
      </c>
      <c r="G45" s="33">
        <v>23.06</v>
      </c>
      <c r="H45" s="33">
        <v>28.716000000000001</v>
      </c>
      <c r="I45" s="33">
        <v>-0.14199999999999999</v>
      </c>
      <c r="J45" s="33">
        <v>-1.323</v>
      </c>
      <c r="K45" s="9">
        <v>29.610279999999999</v>
      </c>
      <c r="L45" s="9">
        <v>30.131419999999999</v>
      </c>
      <c r="M45" s="9">
        <v>30.929749999999999</v>
      </c>
      <c r="N45" s="34">
        <v>-1E-3</v>
      </c>
      <c r="O45" s="33">
        <v>-3.0000000000000001E-3</v>
      </c>
      <c r="P45" s="35">
        <v>1.9790000000000001</v>
      </c>
      <c r="Q45" s="33">
        <v>6.6000000000000003E-2</v>
      </c>
      <c r="R45" s="33">
        <v>1.0049999999999999</v>
      </c>
      <c r="S45" s="33">
        <v>1.6839999999999999</v>
      </c>
      <c r="T45" s="35">
        <v>2.2930000000000001</v>
      </c>
      <c r="U45" s="33">
        <v>3.798</v>
      </c>
    </row>
    <row r="46" spans="1:21" ht="15" x14ac:dyDescent="0.25">
      <c r="A46" s="4">
        <v>45</v>
      </c>
      <c r="B46" s="4">
        <v>8729840</v>
      </c>
      <c r="C46" s="5" t="s">
        <v>79</v>
      </c>
      <c r="D46" s="5" t="s">
        <v>70</v>
      </c>
      <c r="E46" s="5" t="s">
        <v>74</v>
      </c>
      <c r="F46" s="33">
        <v>22.809000000000001</v>
      </c>
      <c r="G46" s="33">
        <v>23.404</v>
      </c>
      <c r="H46" s="33">
        <v>39.759</v>
      </c>
      <c r="I46" s="33">
        <v>-0.26800000000000002</v>
      </c>
      <c r="J46" s="33">
        <v>-1.2090000000000001</v>
      </c>
      <c r="K46" s="9">
        <v>30.332799999999999</v>
      </c>
      <c r="L46" s="9">
        <v>30.89583</v>
      </c>
      <c r="M46" s="9">
        <v>31.970269999999999</v>
      </c>
      <c r="N46" s="34">
        <v>-1E-3</v>
      </c>
      <c r="O46" s="33">
        <v>-2.3E-2</v>
      </c>
      <c r="P46" s="35">
        <v>3.3130000000000002</v>
      </c>
      <c r="Q46" s="33">
        <v>0.186</v>
      </c>
      <c r="R46" s="33">
        <v>1.179</v>
      </c>
      <c r="S46" s="33">
        <v>2.1659999999999999</v>
      </c>
      <c r="T46" s="35">
        <v>3.085</v>
      </c>
      <c r="U46" s="33">
        <v>4.9219999999999997</v>
      </c>
    </row>
    <row r="47" spans="1:21" ht="15" x14ac:dyDescent="0.25">
      <c r="A47" s="4">
        <v>46</v>
      </c>
      <c r="B47" s="4">
        <v>8762482</v>
      </c>
      <c r="C47" s="5" t="s">
        <v>80</v>
      </c>
      <c r="D47" s="5" t="s">
        <v>81</v>
      </c>
      <c r="E47" s="5" t="s">
        <v>82</v>
      </c>
      <c r="F47" s="33">
        <v>23.254000000000001</v>
      </c>
      <c r="G47" s="33">
        <v>24.132999999999999</v>
      </c>
      <c r="H47" s="33">
        <v>42.649000000000001</v>
      </c>
      <c r="I47" s="33">
        <v>-0.36199999999999999</v>
      </c>
      <c r="J47" s="33">
        <v>-1.024</v>
      </c>
      <c r="K47" s="9">
        <v>30.991669999999999</v>
      </c>
      <c r="L47" s="9">
        <v>31.85859</v>
      </c>
      <c r="M47" s="9">
        <v>32.994250000000001</v>
      </c>
      <c r="N47" s="34">
        <v>-5.0000000000000001E-3</v>
      </c>
      <c r="O47" s="33">
        <v>2.8000000000000001E-2</v>
      </c>
      <c r="P47" s="35">
        <v>4.9820000000000002</v>
      </c>
      <c r="Q47" s="33">
        <v>-0.112</v>
      </c>
      <c r="R47" s="33">
        <v>0.70699999999999996</v>
      </c>
      <c r="S47" s="33">
        <v>2.6659999999999999</v>
      </c>
      <c r="T47" s="35">
        <v>3.528</v>
      </c>
      <c r="U47" s="33">
        <v>5.6619999999999999</v>
      </c>
    </row>
    <row r="48" spans="1:21" ht="15" x14ac:dyDescent="0.25">
      <c r="A48" s="4">
        <v>47</v>
      </c>
      <c r="B48" s="4">
        <v>8761724</v>
      </c>
      <c r="C48" s="5" t="s">
        <v>83</v>
      </c>
      <c r="D48" s="5" t="s">
        <v>81</v>
      </c>
      <c r="E48" s="5" t="s">
        <v>82</v>
      </c>
      <c r="F48" s="33">
        <v>23.402999999999999</v>
      </c>
      <c r="G48" s="33">
        <v>23.832999999999998</v>
      </c>
      <c r="H48" s="33">
        <v>39.064999999999998</v>
      </c>
      <c r="I48" s="33">
        <v>-0.20100000000000001</v>
      </c>
      <c r="J48" s="33">
        <v>-1.04</v>
      </c>
      <c r="K48" s="9">
        <v>30.901299999999999</v>
      </c>
      <c r="L48" s="9">
        <v>31.715209999999999</v>
      </c>
      <c r="M48" s="9">
        <v>34.531390000000002</v>
      </c>
      <c r="N48" s="34">
        <v>-2E-3</v>
      </c>
      <c r="O48" s="33">
        <v>-1.6E-2</v>
      </c>
      <c r="P48" s="35">
        <v>4.6230000000000002</v>
      </c>
      <c r="Q48" s="33">
        <v>8.4000000000000005E-2</v>
      </c>
      <c r="R48" s="33">
        <v>0.94799999999999995</v>
      </c>
      <c r="S48" s="33">
        <v>2.65</v>
      </c>
      <c r="T48" s="35">
        <v>3.6070000000000002</v>
      </c>
      <c r="U48" s="33">
        <v>5.6879999999999997</v>
      </c>
    </row>
    <row r="49" spans="1:21" ht="15" x14ac:dyDescent="0.25">
      <c r="A49" s="4">
        <v>48</v>
      </c>
      <c r="B49" s="4">
        <v>8768094</v>
      </c>
      <c r="C49" s="5" t="s">
        <v>84</v>
      </c>
      <c r="D49" s="5" t="s">
        <v>81</v>
      </c>
      <c r="E49" s="5" t="s">
        <v>82</v>
      </c>
      <c r="F49" s="33">
        <v>22.731999999999999</v>
      </c>
      <c r="G49" s="33">
        <v>23.472000000000001</v>
      </c>
      <c r="H49" s="33">
        <v>44.985999999999997</v>
      </c>
      <c r="I49" s="33">
        <v>-0.28699999999999998</v>
      </c>
      <c r="J49" s="33">
        <v>-1.165</v>
      </c>
      <c r="K49" s="9">
        <v>30.787500000000001</v>
      </c>
      <c r="L49" s="9">
        <v>31.33708</v>
      </c>
      <c r="M49" s="9">
        <v>32.374459999999999</v>
      </c>
      <c r="N49" s="34">
        <v>-3.0000000000000001E-3</v>
      </c>
      <c r="O49" s="33">
        <v>4.4999999999999998E-2</v>
      </c>
      <c r="P49" s="35">
        <v>3.5150000000000001</v>
      </c>
      <c r="Q49" s="33">
        <v>-9.7000000000000003E-2</v>
      </c>
      <c r="R49" s="33">
        <v>0.65800000000000003</v>
      </c>
      <c r="S49" s="33">
        <v>2.27</v>
      </c>
      <c r="T49" s="35">
        <v>3.0840000000000001</v>
      </c>
      <c r="U49" s="33">
        <v>4.6890000000000001</v>
      </c>
    </row>
    <row r="50" spans="1:21" ht="15" x14ac:dyDescent="0.25">
      <c r="A50" s="4">
        <v>49</v>
      </c>
      <c r="B50" s="4">
        <v>8770475</v>
      </c>
      <c r="C50" s="5" t="s">
        <v>85</v>
      </c>
      <c r="D50" s="5" t="s">
        <v>86</v>
      </c>
      <c r="E50" s="5" t="s">
        <v>82</v>
      </c>
      <c r="F50" s="33">
        <v>22.966999999999999</v>
      </c>
      <c r="G50" s="33">
        <v>23.452000000000002</v>
      </c>
      <c r="H50" s="33">
        <v>45.408999999999999</v>
      </c>
      <c r="I50" s="33">
        <v>-0.23499999999999999</v>
      </c>
      <c r="J50" s="33">
        <v>-1.1819999999999999</v>
      </c>
      <c r="K50" s="9">
        <v>31.16958</v>
      </c>
      <c r="L50" s="9">
        <v>31.805620000000001</v>
      </c>
      <c r="M50" s="9">
        <v>33.201459999999997</v>
      </c>
      <c r="N50" s="34">
        <v>-3.0000000000000001E-3</v>
      </c>
      <c r="O50" s="33">
        <v>0</v>
      </c>
      <c r="P50" s="35">
        <v>3.573</v>
      </c>
      <c r="Q50" s="33">
        <v>-9.0999999999999998E-2</v>
      </c>
      <c r="R50" s="33">
        <v>0.54800000000000004</v>
      </c>
      <c r="S50" s="33">
        <v>2.363</v>
      </c>
      <c r="T50" s="35">
        <v>3.069</v>
      </c>
      <c r="U50" s="33">
        <v>4.6050000000000004</v>
      </c>
    </row>
    <row r="51" spans="1:21" ht="15" x14ac:dyDescent="0.25">
      <c r="A51" s="4">
        <v>50</v>
      </c>
      <c r="B51" s="4">
        <v>8770570</v>
      </c>
      <c r="C51" s="5" t="s">
        <v>87</v>
      </c>
      <c r="D51" s="5" t="s">
        <v>86</v>
      </c>
      <c r="E51" s="5" t="s">
        <v>82</v>
      </c>
      <c r="F51" s="33">
        <v>22.882999999999999</v>
      </c>
      <c r="G51" s="33">
        <v>23.687999999999999</v>
      </c>
      <c r="H51" s="33">
        <v>46.223999999999997</v>
      </c>
      <c r="I51" s="33">
        <v>-0.30299999999999999</v>
      </c>
      <c r="J51" s="33">
        <v>-1.1439999999999999</v>
      </c>
      <c r="K51" s="9">
        <v>31.08333</v>
      </c>
      <c r="L51" s="9">
        <v>31.66667</v>
      </c>
      <c r="M51" s="9">
        <v>32.812170000000002</v>
      </c>
      <c r="N51" s="34">
        <v>-8.9999999999999993E-3</v>
      </c>
      <c r="O51" s="33">
        <v>4.8000000000000001E-2</v>
      </c>
      <c r="P51" s="35">
        <v>4.6070000000000002</v>
      </c>
      <c r="Q51" s="33">
        <v>-0.252</v>
      </c>
      <c r="R51" s="33">
        <v>1.262</v>
      </c>
      <c r="S51" s="33">
        <v>2.58</v>
      </c>
      <c r="T51" s="35">
        <v>3.4569999999999999</v>
      </c>
      <c r="U51" s="33">
        <v>5.1740000000000004</v>
      </c>
    </row>
    <row r="52" spans="1:21" ht="15" x14ac:dyDescent="0.25">
      <c r="A52" s="4">
        <v>51</v>
      </c>
      <c r="B52" s="4">
        <v>8770971</v>
      </c>
      <c r="C52" s="5" t="s">
        <v>88</v>
      </c>
      <c r="D52" s="5" t="s">
        <v>86</v>
      </c>
      <c r="E52" s="5" t="s">
        <v>82</v>
      </c>
      <c r="F52" s="33">
        <v>22.463000000000001</v>
      </c>
      <c r="G52" s="33">
        <v>23.518999999999998</v>
      </c>
      <c r="H52" s="33">
        <v>45.085000000000001</v>
      </c>
      <c r="I52" s="33">
        <v>-0.48299999999999998</v>
      </c>
      <c r="J52" s="33">
        <v>-0.871</v>
      </c>
      <c r="K52" s="9">
        <v>30.10859</v>
      </c>
      <c r="L52" s="9">
        <v>30.727160000000001</v>
      </c>
      <c r="M52" s="9">
        <v>31.776119999999999</v>
      </c>
      <c r="N52" s="34">
        <v>-2E-3</v>
      </c>
      <c r="O52" s="33">
        <v>7.8E-2</v>
      </c>
      <c r="P52" s="35">
        <v>5.9740000000000002</v>
      </c>
      <c r="Q52" s="33">
        <v>-0.221</v>
      </c>
      <c r="R52" s="33">
        <v>1.7889999999999999</v>
      </c>
      <c r="S52" s="33">
        <v>2.8069999999999999</v>
      </c>
      <c r="T52" s="35">
        <v>3.7879999999999998</v>
      </c>
      <c r="U52" s="33">
        <v>6.3040000000000003</v>
      </c>
    </row>
    <row r="53" spans="1:21" ht="15" x14ac:dyDescent="0.25">
      <c r="A53" s="4">
        <v>52</v>
      </c>
      <c r="B53" s="4">
        <v>8771341</v>
      </c>
      <c r="C53" s="5" t="s">
        <v>89</v>
      </c>
      <c r="D53" s="5" t="s">
        <v>86</v>
      </c>
      <c r="E53" s="5" t="s">
        <v>82</v>
      </c>
      <c r="F53" s="33">
        <v>22.792000000000002</v>
      </c>
      <c r="G53" s="33">
        <v>23.695</v>
      </c>
      <c r="H53" s="33">
        <v>40.497999999999998</v>
      </c>
      <c r="I53" s="33">
        <v>-0.32</v>
      </c>
      <c r="J53" s="33">
        <v>-1.2230000000000001</v>
      </c>
      <c r="K53" s="9">
        <v>30.266670000000001</v>
      </c>
      <c r="L53" s="9">
        <v>30.79167</v>
      </c>
      <c r="M53" s="9">
        <v>31.570830000000001</v>
      </c>
      <c r="N53" s="34">
        <v>-0.01</v>
      </c>
      <c r="O53" s="33">
        <v>4.8000000000000001E-2</v>
      </c>
      <c r="P53" s="35">
        <v>2.6760000000000002</v>
      </c>
      <c r="Q53" s="33">
        <v>-0.24299999999999999</v>
      </c>
      <c r="R53" s="33">
        <v>1.014</v>
      </c>
      <c r="S53" s="33">
        <v>1.9590000000000001</v>
      </c>
      <c r="T53" s="35">
        <v>2.6139999999999999</v>
      </c>
      <c r="U53" s="33">
        <v>4.0339999999999998</v>
      </c>
    </row>
    <row r="54" spans="1:21" ht="15" x14ac:dyDescent="0.25">
      <c r="A54" s="4">
        <v>53</v>
      </c>
      <c r="B54" s="4">
        <v>8771450</v>
      </c>
      <c r="C54" s="5" t="s">
        <v>90</v>
      </c>
      <c r="D54" s="5" t="s">
        <v>86</v>
      </c>
      <c r="E54" s="5" t="s">
        <v>82</v>
      </c>
      <c r="F54" s="33">
        <v>22.798999999999999</v>
      </c>
      <c r="G54" s="33">
        <v>23.283000000000001</v>
      </c>
      <c r="H54" s="33">
        <v>47.688000000000002</v>
      </c>
      <c r="I54" s="33">
        <v>-0.21299999999999999</v>
      </c>
      <c r="J54" s="33">
        <v>-0.98699999999999999</v>
      </c>
      <c r="K54" s="9">
        <v>31.008749999999999</v>
      </c>
      <c r="L54" s="9">
        <v>31.741669999999999</v>
      </c>
      <c r="M54" s="9">
        <v>35.441569999999999</v>
      </c>
      <c r="N54" s="34">
        <v>-3.0000000000000001E-3</v>
      </c>
      <c r="O54" s="33">
        <v>0.186</v>
      </c>
      <c r="P54" s="35">
        <v>6.5990000000000002</v>
      </c>
      <c r="Q54" s="33">
        <v>-0.628</v>
      </c>
      <c r="R54" s="33">
        <v>2.774</v>
      </c>
      <c r="S54" s="33">
        <v>2.6240000000000001</v>
      </c>
      <c r="T54" s="35">
        <v>3.5859999999999999</v>
      </c>
      <c r="U54" s="33">
        <v>6.17</v>
      </c>
    </row>
    <row r="55" spans="1:21" ht="15" x14ac:dyDescent="0.25">
      <c r="A55" s="4">
        <v>54</v>
      </c>
      <c r="B55" s="4">
        <v>8775870</v>
      </c>
      <c r="C55" s="5" t="s">
        <v>91</v>
      </c>
      <c r="D55" s="5" t="s">
        <v>86</v>
      </c>
      <c r="E55" s="5" t="s">
        <v>82</v>
      </c>
      <c r="F55" s="33">
        <v>23.626000000000001</v>
      </c>
      <c r="G55" s="33">
        <v>24.696000000000002</v>
      </c>
      <c r="H55" s="33">
        <v>34.094000000000001</v>
      </c>
      <c r="I55" s="33">
        <v>-0.32500000000000001</v>
      </c>
      <c r="J55" s="33">
        <v>-0.91600000000000004</v>
      </c>
      <c r="K55" s="9">
        <v>30.16667</v>
      </c>
      <c r="L55" s="9">
        <v>31.023330000000001</v>
      </c>
      <c r="M55" s="9">
        <v>34.694000000000003</v>
      </c>
      <c r="N55" s="34">
        <v>1.2E-2</v>
      </c>
      <c r="O55" s="33">
        <v>-2.9000000000000001E-2</v>
      </c>
      <c r="P55" s="35">
        <v>5.194</v>
      </c>
      <c r="Q55" s="33">
        <v>0.54</v>
      </c>
      <c r="R55" s="33">
        <v>1.4690000000000001</v>
      </c>
      <c r="S55" s="33">
        <v>2.6160000000000001</v>
      </c>
      <c r="T55" s="35">
        <v>4.234</v>
      </c>
      <c r="U55" s="33">
        <v>6.931</v>
      </c>
    </row>
    <row r="56" spans="1:21" ht="15" x14ac:dyDescent="0.25">
      <c r="A56" s="4">
        <v>55</v>
      </c>
      <c r="B56" s="4">
        <v>8776604</v>
      </c>
      <c r="C56" s="5" t="s">
        <v>92</v>
      </c>
      <c r="D56" s="5" t="s">
        <v>86</v>
      </c>
      <c r="E56" s="5" t="s">
        <v>82</v>
      </c>
      <c r="F56" s="33">
        <v>24.364000000000001</v>
      </c>
      <c r="G56" s="33">
        <v>25.463000000000001</v>
      </c>
      <c r="H56" s="33">
        <v>34.968000000000004</v>
      </c>
      <c r="I56" s="33">
        <v>-0.58199999999999996</v>
      </c>
      <c r="J56" s="33">
        <v>-0.54800000000000004</v>
      </c>
      <c r="K56" s="9">
        <v>31.004169999999998</v>
      </c>
      <c r="L56" s="9">
        <v>31.61946</v>
      </c>
      <c r="M56" s="9">
        <v>32.657089999999997</v>
      </c>
      <c r="N56" s="34">
        <v>-3.0000000000000001E-3</v>
      </c>
      <c r="O56" s="33">
        <v>0.13</v>
      </c>
      <c r="P56" s="35">
        <v>6.9550000000000001</v>
      </c>
      <c r="Q56" s="33">
        <v>-0.39600000000000002</v>
      </c>
      <c r="R56" s="33">
        <v>1.3759999999999999</v>
      </c>
      <c r="S56" s="33">
        <v>2.9470000000000001</v>
      </c>
      <c r="T56" s="35">
        <v>4.0869999999999997</v>
      </c>
      <c r="U56" s="33">
        <v>6.492</v>
      </c>
    </row>
    <row r="57" spans="1:21" ht="15" x14ac:dyDescent="0.25">
      <c r="A57" s="4">
        <v>56</v>
      </c>
      <c r="B57" s="4">
        <v>9755371</v>
      </c>
      <c r="C57" s="5" t="s">
        <v>93</v>
      </c>
      <c r="D57" s="5" t="s">
        <v>94</v>
      </c>
      <c r="E57" s="5" t="s">
        <v>95</v>
      </c>
      <c r="F57" s="33">
        <v>28.484999999999999</v>
      </c>
      <c r="G57" s="33">
        <v>28.529</v>
      </c>
      <c r="H57" s="33">
        <v>1.9730000000000001</v>
      </c>
      <c r="I57" s="33">
        <v>0.17399999999999999</v>
      </c>
      <c r="J57" s="33">
        <v>-0.307</v>
      </c>
      <c r="K57" s="9">
        <v>30.195830000000001</v>
      </c>
      <c r="L57" s="9">
        <v>30.725000000000001</v>
      </c>
      <c r="M57" s="9">
        <v>31.948329999999999</v>
      </c>
      <c r="N57" s="34">
        <v>7.0000000000000001E-3</v>
      </c>
      <c r="O57" s="33">
        <v>-0.10100000000000001</v>
      </c>
      <c r="P57" s="35">
        <v>0.70699999999999996</v>
      </c>
      <c r="Q57" s="33">
        <v>0.99</v>
      </c>
      <c r="R57" s="33">
        <v>3.6419999999999999</v>
      </c>
      <c r="S57" s="33">
        <v>1.0089999999999999</v>
      </c>
      <c r="T57" s="35">
        <v>1.528</v>
      </c>
      <c r="U57" s="33">
        <v>2.8889999999999998</v>
      </c>
    </row>
    <row r="58" spans="1:21" ht="15" x14ac:dyDescent="0.25">
      <c r="A58" s="4">
        <v>57</v>
      </c>
      <c r="B58" s="4">
        <v>9751401</v>
      </c>
      <c r="C58" s="5" t="s">
        <v>96</v>
      </c>
      <c r="D58" s="5" t="s">
        <v>97</v>
      </c>
      <c r="E58" s="5" t="s">
        <v>95</v>
      </c>
      <c r="F58" s="33">
        <v>28.245999999999999</v>
      </c>
      <c r="G58" s="33">
        <v>28.425000000000001</v>
      </c>
      <c r="H58" s="33">
        <v>1.88</v>
      </c>
      <c r="I58" s="33">
        <v>-0.27600000000000002</v>
      </c>
      <c r="J58" s="33">
        <v>-0.73799999999999999</v>
      </c>
      <c r="K58" s="9">
        <v>29.908329999999999</v>
      </c>
      <c r="L58" s="9">
        <v>30.216670000000001</v>
      </c>
      <c r="M58" s="9">
        <v>30.870830000000002</v>
      </c>
      <c r="N58" s="34">
        <v>0</v>
      </c>
      <c r="O58" s="33">
        <v>3.1E-2</v>
      </c>
      <c r="P58" s="35">
        <v>0.42</v>
      </c>
      <c r="Q58" s="33">
        <v>-0.45500000000000002</v>
      </c>
      <c r="R58" s="33">
        <v>0.56899999999999995</v>
      </c>
      <c r="S58" s="33">
        <v>0.78200000000000003</v>
      </c>
      <c r="T58" s="35">
        <v>0.99299999999999999</v>
      </c>
      <c r="U58" s="33">
        <v>1.347</v>
      </c>
    </row>
    <row r="59" spans="1:21" ht="15" x14ac:dyDescent="0.25">
      <c r="A59" s="11">
        <v>58</v>
      </c>
      <c r="B59" s="11">
        <v>9075099</v>
      </c>
      <c r="C59" s="12" t="s">
        <v>98</v>
      </c>
      <c r="D59" s="12" t="s">
        <v>99</v>
      </c>
      <c r="E59" s="12" t="s">
        <v>100</v>
      </c>
      <c r="F59" s="33">
        <v>8.3260000000000005</v>
      </c>
      <c r="G59" s="33">
        <v>7.234</v>
      </c>
      <c r="H59" s="33">
        <v>38.942</v>
      </c>
      <c r="I59" s="33">
        <v>0.312</v>
      </c>
      <c r="J59" s="33">
        <v>-1.4179999999999999</v>
      </c>
      <c r="K59" s="9">
        <v>17.295829999999999</v>
      </c>
      <c r="L59" s="9">
        <v>18.257770000000001</v>
      </c>
      <c r="M59" s="9">
        <v>19.448789999999999</v>
      </c>
      <c r="N59" s="34">
        <v>-2E-3</v>
      </c>
      <c r="O59" s="33">
        <v>-8.2000000000000003E-2</v>
      </c>
      <c r="P59" s="35">
        <v>1.5660000000000001</v>
      </c>
      <c r="Q59" s="33">
        <v>0.59099999999999997</v>
      </c>
      <c r="R59" s="33">
        <v>3.2469999999999999</v>
      </c>
      <c r="S59" s="33">
        <v>1.5309999999999999</v>
      </c>
      <c r="T59" s="35">
        <v>2.093</v>
      </c>
      <c r="U59" s="33">
        <v>3.8140000000000001</v>
      </c>
    </row>
    <row r="60" spans="1:21" ht="15" x14ac:dyDescent="0.25">
      <c r="A60" s="11">
        <v>59</v>
      </c>
      <c r="B60" s="11">
        <v>9075014</v>
      </c>
      <c r="C60" s="12" t="s">
        <v>101</v>
      </c>
      <c r="D60" s="12" t="s">
        <v>99</v>
      </c>
      <c r="E60" s="12" t="s">
        <v>100</v>
      </c>
      <c r="F60" s="33">
        <v>10.164</v>
      </c>
      <c r="G60" s="33">
        <v>9.7289999999999992</v>
      </c>
      <c r="H60" s="33">
        <v>61.834000000000003</v>
      </c>
      <c r="I60" s="33">
        <v>0.25</v>
      </c>
      <c r="J60" s="33">
        <v>-1.306</v>
      </c>
      <c r="K60" s="9">
        <v>21.626670000000001</v>
      </c>
      <c r="L60" s="9">
        <v>22.825469999999999</v>
      </c>
      <c r="M60" s="9">
        <v>24.54767</v>
      </c>
      <c r="N60" s="34">
        <v>-3.0000000000000001E-3</v>
      </c>
      <c r="O60" s="33">
        <v>-7.2999999999999995E-2</v>
      </c>
      <c r="P60" s="35">
        <v>3.3759999999999999</v>
      </c>
      <c r="Q60" s="33">
        <v>-3.7999999999999999E-2</v>
      </c>
      <c r="R60" s="33">
        <v>1.07</v>
      </c>
      <c r="S60" s="33">
        <v>2.282</v>
      </c>
      <c r="T60" s="35">
        <v>3.0289999999999999</v>
      </c>
      <c r="U60" s="33">
        <v>4.5</v>
      </c>
    </row>
    <row r="61" spans="1:21" ht="15" x14ac:dyDescent="0.25">
      <c r="A61" s="11">
        <v>60</v>
      </c>
      <c r="B61" s="11">
        <v>9063079</v>
      </c>
      <c r="C61" s="12" t="s">
        <v>102</v>
      </c>
      <c r="D61" s="12" t="s">
        <v>103</v>
      </c>
      <c r="E61" s="12" t="s">
        <v>100</v>
      </c>
      <c r="F61" s="33">
        <v>11.718</v>
      </c>
      <c r="G61" s="33">
        <v>11.087</v>
      </c>
      <c r="H61" s="33">
        <v>83.593999999999994</v>
      </c>
      <c r="I61" s="33">
        <v>9.1999999999999998E-2</v>
      </c>
      <c r="J61" s="33">
        <v>-1.494</v>
      </c>
      <c r="K61" s="9">
        <v>24.066669999999998</v>
      </c>
      <c r="L61" s="9">
        <v>25.005859999999998</v>
      </c>
      <c r="M61" s="9">
        <v>26.21219</v>
      </c>
      <c r="N61" s="34">
        <v>-4.0000000000000001E-3</v>
      </c>
      <c r="O61" s="33">
        <v>-5.1999999999999998E-2</v>
      </c>
      <c r="P61" s="35">
        <v>2.5489999999999999</v>
      </c>
      <c r="Q61" s="33">
        <v>7.0999999999999994E-2</v>
      </c>
      <c r="R61" s="33">
        <v>0.27400000000000002</v>
      </c>
      <c r="S61" s="33">
        <v>2.0329999999999999</v>
      </c>
      <c r="T61" s="35">
        <v>2.673</v>
      </c>
      <c r="U61" s="33">
        <v>3.99</v>
      </c>
    </row>
    <row r="62" spans="1:21" ht="15" x14ac:dyDescent="0.25">
      <c r="A62" s="11">
        <v>61</v>
      </c>
      <c r="B62" s="11">
        <v>9063063</v>
      </c>
      <c r="C62" s="12" t="s">
        <v>104</v>
      </c>
      <c r="D62" s="12" t="s">
        <v>103</v>
      </c>
      <c r="E62" s="12" t="s">
        <v>100</v>
      </c>
      <c r="F62" s="33">
        <v>13.098000000000001</v>
      </c>
      <c r="G62" s="33">
        <v>12.177</v>
      </c>
      <c r="H62" s="33">
        <v>58.783000000000001</v>
      </c>
      <c r="I62" s="33">
        <v>0.16600000000000001</v>
      </c>
      <c r="J62" s="33">
        <v>-1.401</v>
      </c>
      <c r="K62" s="9">
        <v>23.44098</v>
      </c>
      <c r="L62" s="9">
        <v>24.50562</v>
      </c>
      <c r="M62" s="9">
        <v>25.979040000000001</v>
      </c>
      <c r="N62" s="34">
        <v>-2E-3</v>
      </c>
      <c r="O62" s="33">
        <v>-5.2999999999999999E-2</v>
      </c>
      <c r="P62" s="35">
        <v>1.9910000000000001</v>
      </c>
      <c r="Q62" s="33">
        <v>0.70199999999999996</v>
      </c>
      <c r="R62" s="33">
        <v>2.6110000000000002</v>
      </c>
      <c r="S62" s="33">
        <v>1.6950000000000001</v>
      </c>
      <c r="T62" s="35">
        <v>2.2189999999999999</v>
      </c>
      <c r="U62" s="33">
        <v>3.9420000000000002</v>
      </c>
    </row>
    <row r="63" spans="1:21" ht="15" x14ac:dyDescent="0.25">
      <c r="A63" s="11">
        <v>62</v>
      </c>
      <c r="B63" s="11">
        <v>9063020</v>
      </c>
      <c r="C63" s="12" t="s">
        <v>105</v>
      </c>
      <c r="D63" s="12" t="s">
        <v>36</v>
      </c>
      <c r="E63" s="12" t="s">
        <v>100</v>
      </c>
      <c r="F63" s="33">
        <v>11.685</v>
      </c>
      <c r="G63" s="33">
        <v>10.851000000000001</v>
      </c>
      <c r="H63" s="33">
        <v>79.775000000000006</v>
      </c>
      <c r="I63" s="33">
        <v>0.12</v>
      </c>
      <c r="J63" s="33">
        <v>-1.4750000000000001</v>
      </c>
      <c r="K63" s="9">
        <v>23.926169999999999</v>
      </c>
      <c r="L63" s="9">
        <v>24.965420000000002</v>
      </c>
      <c r="M63" s="9">
        <v>25.93404</v>
      </c>
      <c r="N63" s="34">
        <v>-2E-3</v>
      </c>
      <c r="O63" s="33">
        <v>-0.108</v>
      </c>
      <c r="P63" s="35">
        <v>2.3809999999999998</v>
      </c>
      <c r="Q63" s="33">
        <v>-0.121</v>
      </c>
      <c r="R63" s="33">
        <v>0.755</v>
      </c>
      <c r="S63" s="33">
        <v>1.976</v>
      </c>
      <c r="T63" s="35">
        <v>2.5630000000000002</v>
      </c>
      <c r="U63" s="33">
        <v>3.6320000000000001</v>
      </c>
    </row>
    <row r="64" spans="1:21" ht="15" x14ac:dyDescent="0.25">
      <c r="A64" s="14">
        <v>63</v>
      </c>
      <c r="B64" s="14">
        <v>9459450</v>
      </c>
      <c r="C64" s="15" t="s">
        <v>106</v>
      </c>
      <c r="D64" s="15" t="s">
        <v>107</v>
      </c>
      <c r="E64" s="15" t="s">
        <v>108</v>
      </c>
      <c r="F64" s="33">
        <v>6.8259999999999996</v>
      </c>
      <c r="G64" s="33">
        <v>6.5129999999999999</v>
      </c>
      <c r="H64" s="33">
        <v>10.178000000000001</v>
      </c>
      <c r="I64" s="33">
        <v>0.17</v>
      </c>
      <c r="J64" s="33">
        <v>-1.101</v>
      </c>
      <c r="K64" s="9">
        <v>11.07831</v>
      </c>
      <c r="L64" s="9">
        <v>11.824170000000001</v>
      </c>
      <c r="M64" s="9">
        <v>13.235749999999999</v>
      </c>
      <c r="N64" s="34">
        <v>-1E-3</v>
      </c>
      <c r="O64" s="33">
        <v>-9.1999999999999998E-2</v>
      </c>
      <c r="P64" s="35">
        <v>1.3740000000000001</v>
      </c>
      <c r="Q64" s="33">
        <v>0.81899999999999995</v>
      </c>
      <c r="R64" s="33">
        <v>1.8859999999999999</v>
      </c>
      <c r="S64" s="33">
        <v>1.4530000000000001</v>
      </c>
      <c r="T64" s="35">
        <v>1.909</v>
      </c>
      <c r="U64" s="33">
        <v>4.18</v>
      </c>
    </row>
    <row r="65" spans="1:21" ht="15" x14ac:dyDescent="0.25">
      <c r="A65" s="14">
        <v>64</v>
      </c>
      <c r="B65" s="14">
        <v>9455920</v>
      </c>
      <c r="C65" s="15" t="s">
        <v>109</v>
      </c>
      <c r="D65" s="15" t="s">
        <v>107</v>
      </c>
      <c r="E65" s="15" t="s">
        <v>108</v>
      </c>
      <c r="F65" s="33">
        <v>5.4029999999999996</v>
      </c>
      <c r="G65" s="33">
        <v>4.1440000000000001</v>
      </c>
      <c r="H65" s="33">
        <v>38.957000000000001</v>
      </c>
      <c r="I65" s="33">
        <v>0.251</v>
      </c>
      <c r="J65" s="33">
        <v>-1.587</v>
      </c>
      <c r="K65" s="9">
        <v>13.89167</v>
      </c>
      <c r="L65" s="9">
        <v>14.679169999999999</v>
      </c>
      <c r="M65" s="9">
        <v>15.72833</v>
      </c>
      <c r="N65" s="34">
        <v>2E-3</v>
      </c>
      <c r="O65" s="33">
        <v>4.9000000000000002E-2</v>
      </c>
      <c r="P65" s="35">
        <v>0.90300000000000002</v>
      </c>
      <c r="Q65" s="33">
        <v>6.0999999999999999E-2</v>
      </c>
      <c r="R65" s="33">
        <v>1.3</v>
      </c>
      <c r="S65" s="33">
        <v>1.155</v>
      </c>
      <c r="T65" s="35">
        <v>1.663</v>
      </c>
      <c r="U65" s="33">
        <v>2.645</v>
      </c>
    </row>
    <row r="66" spans="1:21" ht="15" x14ac:dyDescent="0.25">
      <c r="A66" s="14">
        <v>65</v>
      </c>
      <c r="B66" s="14">
        <v>9455500</v>
      </c>
      <c r="C66" s="15" t="s">
        <v>110</v>
      </c>
      <c r="D66" s="15" t="s">
        <v>107</v>
      </c>
      <c r="E66" s="15" t="s">
        <v>108</v>
      </c>
      <c r="F66" s="33">
        <v>7.0250000000000004</v>
      </c>
      <c r="G66" s="33">
        <v>6.8550000000000004</v>
      </c>
      <c r="H66" s="33">
        <v>7.2610000000000001</v>
      </c>
      <c r="I66" s="33">
        <v>-1.4E-2</v>
      </c>
      <c r="J66" s="33">
        <v>-1.0409999999999999</v>
      </c>
      <c r="K66" s="9">
        <v>10.5625</v>
      </c>
      <c r="L66" s="9">
        <v>11.060650000000001</v>
      </c>
      <c r="M66" s="9">
        <v>12.09221</v>
      </c>
      <c r="N66" s="34">
        <v>-1E-3</v>
      </c>
      <c r="O66" s="33">
        <v>-2.4E-2</v>
      </c>
      <c r="P66" s="35">
        <v>0.94299999999999995</v>
      </c>
      <c r="Q66" s="33">
        <v>4.2999999999999997E-2</v>
      </c>
      <c r="R66" s="33">
        <v>1.282</v>
      </c>
      <c r="S66" s="33">
        <v>1.1859999999999999</v>
      </c>
      <c r="T66" s="35">
        <v>1.6930000000000001</v>
      </c>
      <c r="U66" s="33">
        <v>2.335</v>
      </c>
    </row>
    <row r="67" spans="1:21" ht="15" x14ac:dyDescent="0.25">
      <c r="A67" s="14">
        <v>66</v>
      </c>
      <c r="B67" s="14">
        <v>9454240</v>
      </c>
      <c r="C67" s="15" t="s">
        <v>111</v>
      </c>
      <c r="D67" s="15" t="s">
        <v>107</v>
      </c>
      <c r="E67" s="15" t="s">
        <v>108</v>
      </c>
      <c r="F67" s="33">
        <v>7.98</v>
      </c>
      <c r="G67" s="33">
        <v>7.8579999999999997</v>
      </c>
      <c r="H67" s="33">
        <v>8.3460000000000001</v>
      </c>
      <c r="I67" s="33">
        <v>0.108</v>
      </c>
      <c r="J67" s="33">
        <v>-1.242</v>
      </c>
      <c r="K67" s="9">
        <v>11.85417</v>
      </c>
      <c r="L67" s="9">
        <v>12.44317</v>
      </c>
      <c r="M67" s="9">
        <v>13.45458</v>
      </c>
      <c r="N67" s="34">
        <v>1E-3</v>
      </c>
      <c r="O67" s="33">
        <v>-4.0000000000000001E-3</v>
      </c>
      <c r="P67" s="35">
        <v>0.997</v>
      </c>
      <c r="Q67" s="33">
        <v>7.8E-2</v>
      </c>
      <c r="R67" s="33">
        <v>-0.161</v>
      </c>
      <c r="S67" s="33">
        <v>1.3089999999999999</v>
      </c>
      <c r="T67" s="35">
        <v>1.661</v>
      </c>
      <c r="U67" s="33">
        <v>2.2679999999999998</v>
      </c>
    </row>
    <row r="68" spans="1:21" ht="15" x14ac:dyDescent="0.25">
      <c r="A68" s="14">
        <v>67</v>
      </c>
      <c r="B68" s="14">
        <v>9455090</v>
      </c>
      <c r="C68" s="15" t="s">
        <v>112</v>
      </c>
      <c r="D68" s="15" t="s">
        <v>107</v>
      </c>
      <c r="E68" s="15" t="s">
        <v>108</v>
      </c>
      <c r="F68" s="33">
        <v>8.3260000000000005</v>
      </c>
      <c r="G68" s="33">
        <v>7.8289999999999997</v>
      </c>
      <c r="H68" s="33">
        <v>12.009</v>
      </c>
      <c r="I68" s="33">
        <v>0.28699999999999998</v>
      </c>
      <c r="J68" s="33">
        <v>-1.17</v>
      </c>
      <c r="K68" s="9">
        <v>13.276669999999999</v>
      </c>
      <c r="L68" s="9">
        <v>14.008330000000001</v>
      </c>
      <c r="M68" s="9">
        <v>15.25</v>
      </c>
      <c r="N68" s="34">
        <v>2E-3</v>
      </c>
      <c r="O68" s="33">
        <v>-5.0999999999999997E-2</v>
      </c>
      <c r="P68" s="35">
        <v>1.0329999999999999</v>
      </c>
      <c r="Q68" s="33">
        <v>0.109</v>
      </c>
      <c r="R68" s="33">
        <v>5.5E-2</v>
      </c>
      <c r="S68" s="33">
        <v>1.355</v>
      </c>
      <c r="T68" s="35">
        <v>1.7330000000000001</v>
      </c>
      <c r="U68" s="33">
        <v>2.399</v>
      </c>
    </row>
    <row r="69" spans="1:21" ht="15" x14ac:dyDescent="0.25">
      <c r="A69" s="14">
        <v>68</v>
      </c>
      <c r="B69" s="14">
        <v>9453220</v>
      </c>
      <c r="C69" s="15" t="s">
        <v>113</v>
      </c>
      <c r="D69" s="15" t="s">
        <v>107</v>
      </c>
      <c r="E69" s="15" t="s">
        <v>108</v>
      </c>
      <c r="F69" s="33">
        <v>8.58</v>
      </c>
      <c r="G69" s="33">
        <v>8.3309999999999995</v>
      </c>
      <c r="H69" s="33">
        <v>10.612</v>
      </c>
      <c r="I69" s="33">
        <v>0.14199999999999999</v>
      </c>
      <c r="J69" s="33">
        <v>-1.292</v>
      </c>
      <c r="K69" s="9">
        <v>13.00844</v>
      </c>
      <c r="L69" s="9">
        <v>13.60422</v>
      </c>
      <c r="M69" s="9">
        <v>14.63287</v>
      </c>
      <c r="N69" s="34">
        <v>0</v>
      </c>
      <c r="O69" s="33">
        <v>-1.7000000000000001E-2</v>
      </c>
      <c r="P69" s="35">
        <v>0.76400000000000001</v>
      </c>
      <c r="Q69" s="33">
        <v>9.7000000000000003E-2</v>
      </c>
      <c r="R69" s="33">
        <v>0.35199999999999998</v>
      </c>
      <c r="S69" s="33">
        <v>1.113</v>
      </c>
      <c r="T69" s="35">
        <v>1.4370000000000001</v>
      </c>
      <c r="U69" s="33">
        <v>2.1379999999999999</v>
      </c>
    </row>
    <row r="70" spans="1:21" ht="15" x14ac:dyDescent="0.25">
      <c r="A70" s="14">
        <v>69</v>
      </c>
      <c r="B70" s="14">
        <v>9452210</v>
      </c>
      <c r="C70" s="15" t="s">
        <v>114</v>
      </c>
      <c r="D70" s="15" t="s">
        <v>107</v>
      </c>
      <c r="E70" s="15" t="s">
        <v>108</v>
      </c>
      <c r="F70" s="33">
        <v>6.4349999999999996</v>
      </c>
      <c r="G70" s="33">
        <v>6.3630000000000004</v>
      </c>
      <c r="H70" s="33">
        <v>5.8650000000000002</v>
      </c>
      <c r="I70" s="33">
        <v>-1.0999999999999999E-2</v>
      </c>
      <c r="J70" s="33">
        <v>-1.173</v>
      </c>
      <c r="K70" s="9">
        <v>9.6041670000000003</v>
      </c>
      <c r="L70" s="9">
        <v>10.02441</v>
      </c>
      <c r="M70" s="9">
        <v>10.781420000000001</v>
      </c>
      <c r="N70" s="34">
        <v>1E-3</v>
      </c>
      <c r="O70" s="33">
        <v>0.02</v>
      </c>
      <c r="P70" s="35">
        <v>0.55100000000000005</v>
      </c>
      <c r="Q70" s="33">
        <v>-0.16800000000000001</v>
      </c>
      <c r="R70" s="33">
        <v>0.73599999999999999</v>
      </c>
      <c r="S70" s="33">
        <v>0.91300000000000003</v>
      </c>
      <c r="T70" s="35">
        <v>1.1539999999999999</v>
      </c>
      <c r="U70" s="33">
        <v>1.714</v>
      </c>
    </row>
    <row r="71" spans="1:21" ht="15" x14ac:dyDescent="0.25">
      <c r="A71" s="14">
        <v>70</v>
      </c>
      <c r="B71" s="14">
        <v>9451600</v>
      </c>
      <c r="C71" s="15" t="s">
        <v>115</v>
      </c>
      <c r="D71" s="15" t="s">
        <v>107</v>
      </c>
      <c r="E71" s="15" t="s">
        <v>108</v>
      </c>
      <c r="F71" s="33">
        <v>9.2219999999999995</v>
      </c>
      <c r="G71" s="33">
        <v>8.7669999999999995</v>
      </c>
      <c r="H71" s="33">
        <v>9.1790000000000003</v>
      </c>
      <c r="I71" s="33">
        <v>0.29299999999999998</v>
      </c>
      <c r="J71" s="33">
        <v>-1.1539999999999999</v>
      </c>
      <c r="K71" s="9">
        <v>13.55</v>
      </c>
      <c r="L71" s="9">
        <v>14.28542</v>
      </c>
      <c r="M71" s="9">
        <v>15.174580000000001</v>
      </c>
      <c r="N71" s="34">
        <v>0</v>
      </c>
      <c r="O71" s="33">
        <v>-1.7000000000000001E-2</v>
      </c>
      <c r="P71" s="35">
        <v>0.71</v>
      </c>
      <c r="Q71" s="33">
        <v>0.18099999999999999</v>
      </c>
      <c r="R71" s="33">
        <v>0.24399999999999999</v>
      </c>
      <c r="S71" s="33">
        <v>1.0960000000000001</v>
      </c>
      <c r="T71" s="35">
        <v>1.4330000000000001</v>
      </c>
      <c r="U71" s="33">
        <v>2.1</v>
      </c>
    </row>
    <row r="72" spans="1:21" ht="15" x14ac:dyDescent="0.25">
      <c r="A72" s="14">
        <v>71</v>
      </c>
      <c r="B72" s="14">
        <v>9450460</v>
      </c>
      <c r="C72" s="15" t="s">
        <v>116</v>
      </c>
      <c r="D72" s="15" t="s">
        <v>107</v>
      </c>
      <c r="E72" s="15" t="s">
        <v>108</v>
      </c>
      <c r="F72" s="33">
        <v>9.3160000000000007</v>
      </c>
      <c r="G72" s="33">
        <v>8.5380000000000003</v>
      </c>
      <c r="H72" s="33">
        <v>9.2260000000000009</v>
      </c>
      <c r="I72" s="33">
        <v>0.36199999999999999</v>
      </c>
      <c r="J72" s="33">
        <v>-1.236</v>
      </c>
      <c r="K72" s="9">
        <v>13.646229999999999</v>
      </c>
      <c r="L72" s="9">
        <v>14.30833</v>
      </c>
      <c r="M72" s="9">
        <v>15.31307</v>
      </c>
      <c r="N72" s="34">
        <v>3.0000000000000001E-3</v>
      </c>
      <c r="O72" s="33">
        <v>-5.5E-2</v>
      </c>
      <c r="P72" s="35">
        <v>0.56499999999999995</v>
      </c>
      <c r="Q72" s="33">
        <v>0.45400000000000001</v>
      </c>
      <c r="R72" s="33">
        <v>1.179</v>
      </c>
      <c r="S72" s="33">
        <v>1</v>
      </c>
      <c r="T72" s="35">
        <v>1.3260000000000001</v>
      </c>
      <c r="U72" s="33">
        <v>1.9690000000000001</v>
      </c>
    </row>
    <row r="73" spans="1:21" ht="15" x14ac:dyDescent="0.25">
      <c r="A73" s="14">
        <v>72</v>
      </c>
      <c r="B73" s="14">
        <v>9449880</v>
      </c>
      <c r="C73" s="15" t="s">
        <v>117</v>
      </c>
      <c r="D73" s="15" t="s">
        <v>118</v>
      </c>
      <c r="E73" s="15" t="s">
        <v>119</v>
      </c>
      <c r="F73" s="33">
        <v>9.6890000000000001</v>
      </c>
      <c r="G73" s="33">
        <v>9.6460000000000008</v>
      </c>
      <c r="H73" s="33">
        <v>2.125</v>
      </c>
      <c r="I73" s="33">
        <v>0.27300000000000002</v>
      </c>
      <c r="J73" s="33">
        <v>-0.60599999999999998</v>
      </c>
      <c r="K73" s="9">
        <v>11.5875</v>
      </c>
      <c r="L73" s="9">
        <v>12.04815</v>
      </c>
      <c r="M73" s="9">
        <v>13.14583</v>
      </c>
      <c r="N73" s="34">
        <v>0</v>
      </c>
      <c r="O73" s="33">
        <v>-0.06</v>
      </c>
      <c r="P73" s="35">
        <v>0.33600000000000002</v>
      </c>
      <c r="Q73" s="33">
        <v>0.73799999999999999</v>
      </c>
      <c r="R73" s="33">
        <v>1.5780000000000001</v>
      </c>
      <c r="S73" s="33">
        <v>0.73799999999999999</v>
      </c>
      <c r="T73" s="35">
        <v>1.01</v>
      </c>
      <c r="U73" s="33">
        <v>1.6930000000000001</v>
      </c>
    </row>
    <row r="74" spans="1:21" ht="15" x14ac:dyDescent="0.25">
      <c r="A74" s="14">
        <v>73</v>
      </c>
      <c r="B74" s="14">
        <v>9444090</v>
      </c>
      <c r="C74" s="15" t="s">
        <v>120</v>
      </c>
      <c r="D74" s="15" t="s">
        <v>118</v>
      </c>
      <c r="E74" s="15" t="s">
        <v>119</v>
      </c>
      <c r="F74" s="33">
        <v>9.4760000000000009</v>
      </c>
      <c r="G74" s="33">
        <v>9.4580000000000002</v>
      </c>
      <c r="H74" s="33">
        <v>2.0489999999999999</v>
      </c>
      <c r="I74" s="33">
        <v>0.14000000000000001</v>
      </c>
      <c r="J74" s="33">
        <v>-0.627</v>
      </c>
      <c r="K74" s="9">
        <v>11.37899</v>
      </c>
      <c r="L74" s="9">
        <v>11.7875</v>
      </c>
      <c r="M74" s="9">
        <v>12.67267</v>
      </c>
      <c r="N74" s="34">
        <v>-6.0000000000000001E-3</v>
      </c>
      <c r="O74" s="33">
        <v>-0.05</v>
      </c>
      <c r="P74" s="35">
        <v>0.65900000000000003</v>
      </c>
      <c r="Q74" s="33">
        <v>0.39100000000000001</v>
      </c>
      <c r="R74" s="33">
        <v>1.3779999999999999</v>
      </c>
      <c r="S74" s="33">
        <v>1.0109999999999999</v>
      </c>
      <c r="T74" s="35">
        <v>1.329</v>
      </c>
      <c r="U74" s="33">
        <v>2.1890000000000001</v>
      </c>
    </row>
    <row r="75" spans="1:21" ht="15" x14ac:dyDescent="0.25">
      <c r="A75" s="14">
        <v>74</v>
      </c>
      <c r="B75" s="14">
        <v>9444900</v>
      </c>
      <c r="C75" s="15" t="s">
        <v>121</v>
      </c>
      <c r="D75" s="15" t="s">
        <v>118</v>
      </c>
      <c r="E75" s="15" t="s">
        <v>119</v>
      </c>
      <c r="F75" s="33">
        <v>9.7430000000000003</v>
      </c>
      <c r="G75" s="33">
        <v>9.7919999999999998</v>
      </c>
      <c r="H75" s="33">
        <v>1.9590000000000001</v>
      </c>
      <c r="I75" s="33">
        <v>-1.6E-2</v>
      </c>
      <c r="J75" s="33">
        <v>-1.1870000000000001</v>
      </c>
      <c r="K75" s="9">
        <v>11.55833</v>
      </c>
      <c r="L75" s="9">
        <v>11.845829999999999</v>
      </c>
      <c r="M75" s="9">
        <v>12.328670000000001</v>
      </c>
      <c r="N75" s="34">
        <v>-1E-3</v>
      </c>
      <c r="O75" s="33">
        <v>-3.6999999999999998E-2</v>
      </c>
      <c r="P75" s="35">
        <v>0.218</v>
      </c>
      <c r="Q75" s="33">
        <v>0.36099999999999999</v>
      </c>
      <c r="R75" s="33">
        <v>0.122</v>
      </c>
      <c r="S75" s="33">
        <v>0.61899999999999999</v>
      </c>
      <c r="T75" s="35">
        <v>0.83299999999999996</v>
      </c>
      <c r="U75" s="33">
        <v>1.214</v>
      </c>
    </row>
    <row r="76" spans="1:21" ht="15" x14ac:dyDescent="0.25">
      <c r="A76" s="14">
        <v>75</v>
      </c>
      <c r="B76" s="14">
        <v>9447130</v>
      </c>
      <c r="C76" s="15" t="s">
        <v>122</v>
      </c>
      <c r="D76" s="15" t="s">
        <v>118</v>
      </c>
      <c r="E76" s="15" t="s">
        <v>119</v>
      </c>
      <c r="F76" s="33">
        <v>10.803000000000001</v>
      </c>
      <c r="G76" s="33">
        <v>10.77</v>
      </c>
      <c r="H76" s="33">
        <v>3.3559999999999999</v>
      </c>
      <c r="I76" s="33">
        <v>0.03</v>
      </c>
      <c r="J76" s="33">
        <v>-1.34</v>
      </c>
      <c r="K76" s="9">
        <v>13.23664</v>
      </c>
      <c r="L76" s="9">
        <v>13.530430000000001</v>
      </c>
      <c r="M76" s="9">
        <v>13.964650000000001</v>
      </c>
      <c r="N76" s="34">
        <v>3.0000000000000001E-3</v>
      </c>
      <c r="O76" s="33">
        <v>-1.2E-2</v>
      </c>
      <c r="P76" s="35">
        <v>0.24099999999999999</v>
      </c>
      <c r="Q76" s="33">
        <v>0.22600000000000001</v>
      </c>
      <c r="R76" s="33">
        <v>5.8000000000000003E-2</v>
      </c>
      <c r="S76" s="33">
        <v>0.64600000000000002</v>
      </c>
      <c r="T76" s="35">
        <v>0.85699999999999998</v>
      </c>
      <c r="U76" s="33">
        <v>1.2470000000000001</v>
      </c>
    </row>
    <row r="77" spans="1:21" ht="15" x14ac:dyDescent="0.25">
      <c r="A77" s="14">
        <v>76</v>
      </c>
      <c r="B77" s="14">
        <v>9446484</v>
      </c>
      <c r="C77" s="15" t="s">
        <v>123</v>
      </c>
      <c r="D77" s="15" t="s">
        <v>118</v>
      </c>
      <c r="E77" s="15" t="s">
        <v>119</v>
      </c>
      <c r="F77" s="33">
        <v>10.593</v>
      </c>
      <c r="G77" s="33">
        <v>10.617000000000001</v>
      </c>
      <c r="H77" s="33">
        <v>3.64</v>
      </c>
      <c r="I77" s="33">
        <v>-0.109</v>
      </c>
      <c r="J77" s="33">
        <v>-0.96199999999999997</v>
      </c>
      <c r="K77" s="9">
        <v>13.161670000000001</v>
      </c>
      <c r="L77" s="9">
        <v>13.487500000000001</v>
      </c>
      <c r="M77" s="9">
        <v>13.85417</v>
      </c>
      <c r="N77" s="34">
        <v>0</v>
      </c>
      <c r="O77" s="33">
        <v>0.193</v>
      </c>
      <c r="P77" s="35">
        <v>0.621</v>
      </c>
      <c r="Q77" s="33">
        <v>-0.80400000000000005</v>
      </c>
      <c r="R77" s="33">
        <v>-1E-3</v>
      </c>
      <c r="S77" s="33">
        <v>0.85099999999999998</v>
      </c>
      <c r="T77" s="35">
        <v>0.98899999999999999</v>
      </c>
      <c r="U77" s="33">
        <v>1.262</v>
      </c>
    </row>
    <row r="78" spans="1:21" ht="15" x14ac:dyDescent="0.25">
      <c r="A78" s="14">
        <v>77</v>
      </c>
      <c r="B78" s="14">
        <v>9440910</v>
      </c>
      <c r="C78" s="15" t="s">
        <v>124</v>
      </c>
      <c r="D78" s="15" t="s">
        <v>118</v>
      </c>
      <c r="E78" s="15" t="s">
        <v>119</v>
      </c>
      <c r="F78" s="33">
        <v>12.28</v>
      </c>
      <c r="G78" s="33">
        <v>12.231999999999999</v>
      </c>
      <c r="H78" s="33">
        <v>13.319000000000001</v>
      </c>
      <c r="I78" s="33">
        <v>7.0000000000000007E-2</v>
      </c>
      <c r="J78" s="33">
        <v>-1.137</v>
      </c>
      <c r="K78" s="9">
        <v>17.078330000000001</v>
      </c>
      <c r="L78" s="9">
        <v>17.92202</v>
      </c>
      <c r="M78" s="9">
        <v>19.334499999999998</v>
      </c>
      <c r="N78" s="34">
        <v>1E-3</v>
      </c>
      <c r="O78" s="33">
        <v>1.6E-2</v>
      </c>
      <c r="P78" s="35">
        <v>1.431</v>
      </c>
      <c r="Q78" s="33">
        <v>-0.09</v>
      </c>
      <c r="R78" s="33">
        <v>0.186</v>
      </c>
      <c r="S78" s="33">
        <v>1.512</v>
      </c>
      <c r="T78" s="35">
        <v>1.889</v>
      </c>
      <c r="U78" s="33">
        <v>2.7509999999999999</v>
      </c>
    </row>
    <row r="79" spans="1:21" ht="15" x14ac:dyDescent="0.25">
      <c r="A79" s="14">
        <v>78</v>
      </c>
      <c r="B79" s="14">
        <v>9435380</v>
      </c>
      <c r="C79" s="15" t="s">
        <v>125</v>
      </c>
      <c r="D79" s="15" t="s">
        <v>126</v>
      </c>
      <c r="E79" s="15" t="s">
        <v>119</v>
      </c>
      <c r="F79" s="33">
        <v>11.305</v>
      </c>
      <c r="G79" s="33">
        <v>11.179</v>
      </c>
      <c r="H79" s="33">
        <v>2.948</v>
      </c>
      <c r="I79" s="33">
        <v>0.44800000000000001</v>
      </c>
      <c r="J79" s="33">
        <v>0.53400000000000003</v>
      </c>
      <c r="K79" s="9">
        <v>13.633330000000001</v>
      </c>
      <c r="L79" s="9">
        <v>14.46021</v>
      </c>
      <c r="M79" s="9">
        <v>15.950379999999999</v>
      </c>
      <c r="N79" s="34">
        <v>-1E-3</v>
      </c>
      <c r="O79" s="33">
        <v>-0.108</v>
      </c>
      <c r="P79" s="35">
        <v>1.9930000000000001</v>
      </c>
      <c r="Q79" s="33">
        <v>0.40899999999999997</v>
      </c>
      <c r="R79" s="33">
        <v>0.62</v>
      </c>
      <c r="S79" s="33">
        <v>1.91</v>
      </c>
      <c r="T79" s="35">
        <v>2.57</v>
      </c>
      <c r="U79" s="33">
        <v>3.8260000000000001</v>
      </c>
    </row>
    <row r="80" spans="1:21" ht="15" x14ac:dyDescent="0.25">
      <c r="A80" s="14">
        <v>79</v>
      </c>
      <c r="B80" s="14">
        <v>9432780</v>
      </c>
      <c r="C80" s="15" t="s">
        <v>127</v>
      </c>
      <c r="D80" s="15" t="s">
        <v>126</v>
      </c>
      <c r="E80" s="15" t="s">
        <v>119</v>
      </c>
      <c r="F80" s="33">
        <v>11.372</v>
      </c>
      <c r="G80" s="33">
        <v>11.246</v>
      </c>
      <c r="H80" s="33">
        <v>2.17</v>
      </c>
      <c r="I80" s="33">
        <v>0.501</v>
      </c>
      <c r="J80" s="33">
        <v>0.436</v>
      </c>
      <c r="K80" s="9">
        <v>13.30902</v>
      </c>
      <c r="L80" s="9">
        <v>14.041460000000001</v>
      </c>
      <c r="M80" s="9">
        <v>15.47241</v>
      </c>
      <c r="N80" s="34">
        <v>-1E-3</v>
      </c>
      <c r="O80" s="33">
        <v>-6.8000000000000005E-2</v>
      </c>
      <c r="P80" s="35">
        <v>1.4339999999999999</v>
      </c>
      <c r="Q80" s="33">
        <v>0.42499999999999999</v>
      </c>
      <c r="R80" s="33">
        <v>0.36199999999999999</v>
      </c>
      <c r="S80" s="33">
        <v>1.5389999999999999</v>
      </c>
      <c r="T80" s="35">
        <v>2.0910000000000002</v>
      </c>
      <c r="U80" s="33">
        <v>3.3140000000000001</v>
      </c>
    </row>
    <row r="81" spans="1:21" ht="15" x14ac:dyDescent="0.25">
      <c r="A81" s="14">
        <v>80</v>
      </c>
      <c r="B81" s="14">
        <v>9431647</v>
      </c>
      <c r="C81" s="15" t="s">
        <v>128</v>
      </c>
      <c r="D81" s="15" t="s">
        <v>126</v>
      </c>
      <c r="E81" s="15" t="s">
        <v>119</v>
      </c>
      <c r="F81" s="33">
        <v>10.426</v>
      </c>
      <c r="G81" s="33">
        <v>10.420999999999999</v>
      </c>
      <c r="H81" s="33">
        <v>2.6480000000000001</v>
      </c>
      <c r="I81" s="33">
        <v>0.315</v>
      </c>
      <c r="J81" s="33">
        <v>-6.3E-2</v>
      </c>
      <c r="K81" s="9">
        <v>12.508330000000001</v>
      </c>
      <c r="L81" s="9">
        <v>13.234780000000001</v>
      </c>
      <c r="M81" s="9">
        <v>14.753819999999999</v>
      </c>
      <c r="N81" s="34">
        <v>-1E-3</v>
      </c>
      <c r="O81" s="33">
        <v>-9.9000000000000005E-2</v>
      </c>
      <c r="P81" s="35">
        <v>2.1760000000000002</v>
      </c>
      <c r="Q81" s="33">
        <v>0.57599999999999996</v>
      </c>
      <c r="R81" s="33">
        <v>0.42399999999999999</v>
      </c>
      <c r="S81" s="33">
        <v>1.9319999999999999</v>
      </c>
      <c r="T81" s="35">
        <v>2.64</v>
      </c>
      <c r="U81" s="33">
        <v>4.0289999999999999</v>
      </c>
    </row>
    <row r="82" spans="1:21" ht="15" x14ac:dyDescent="0.25">
      <c r="A82" s="14">
        <v>81</v>
      </c>
      <c r="B82" s="14">
        <v>9419750</v>
      </c>
      <c r="C82" s="15" t="s">
        <v>129</v>
      </c>
      <c r="D82" s="15" t="s">
        <v>130</v>
      </c>
      <c r="E82" s="15" t="s">
        <v>119</v>
      </c>
      <c r="F82" s="33">
        <v>12.090999999999999</v>
      </c>
      <c r="G82" s="33">
        <v>11.754</v>
      </c>
      <c r="H82" s="33">
        <v>3.8420000000000001</v>
      </c>
      <c r="I82" s="33">
        <v>0.46899999999999997</v>
      </c>
      <c r="J82" s="33">
        <v>-0.45100000000000001</v>
      </c>
      <c r="K82" s="9">
        <v>14.966670000000001</v>
      </c>
      <c r="L82" s="9">
        <v>15.62083</v>
      </c>
      <c r="M82" s="9">
        <v>16.810559999999999</v>
      </c>
      <c r="N82" s="34">
        <v>0</v>
      </c>
      <c r="O82" s="33">
        <v>-1.6E-2</v>
      </c>
      <c r="P82" s="35">
        <v>1.7250000000000001</v>
      </c>
      <c r="Q82" s="33">
        <v>0.121</v>
      </c>
      <c r="R82" s="33">
        <v>7.9000000000000001E-2</v>
      </c>
      <c r="S82" s="33">
        <v>1.716</v>
      </c>
      <c r="T82" s="35">
        <v>2.2290000000000001</v>
      </c>
      <c r="U82" s="33">
        <v>3.2730000000000001</v>
      </c>
    </row>
    <row r="83" spans="1:21" ht="15" x14ac:dyDescent="0.25">
      <c r="A83" s="14">
        <v>82</v>
      </c>
      <c r="B83" s="14">
        <v>9418767</v>
      </c>
      <c r="C83" s="15" t="s">
        <v>131</v>
      </c>
      <c r="D83" s="15" t="s">
        <v>130</v>
      </c>
      <c r="E83" s="15" t="s">
        <v>119</v>
      </c>
      <c r="F83" s="33">
        <v>11.653</v>
      </c>
      <c r="G83" s="33">
        <v>11.621</v>
      </c>
      <c r="H83" s="33">
        <v>1.9570000000000001</v>
      </c>
      <c r="I83" s="33">
        <v>0.17399999999999999</v>
      </c>
      <c r="J83" s="33">
        <v>5.1999999999999998E-2</v>
      </c>
      <c r="K83" s="9">
        <v>13.445830000000001</v>
      </c>
      <c r="L83" s="9">
        <v>14.09158</v>
      </c>
      <c r="M83" s="9">
        <v>15.13885</v>
      </c>
      <c r="N83" s="34">
        <v>-1E-3</v>
      </c>
      <c r="O83" s="33">
        <v>-0.10199999999999999</v>
      </c>
      <c r="P83" s="35">
        <v>1.2629999999999999</v>
      </c>
      <c r="Q83" s="33">
        <v>0.55300000000000005</v>
      </c>
      <c r="R83" s="33">
        <v>1.0900000000000001</v>
      </c>
      <c r="S83" s="33">
        <v>1.4359999999999999</v>
      </c>
      <c r="T83" s="35">
        <v>1.968</v>
      </c>
      <c r="U83" s="33">
        <v>3.26</v>
      </c>
    </row>
    <row r="84" spans="1:21" ht="15" x14ac:dyDescent="0.25">
      <c r="A84" s="14">
        <v>83</v>
      </c>
      <c r="B84" s="14">
        <v>9416841</v>
      </c>
      <c r="C84" s="15" t="s">
        <v>132</v>
      </c>
      <c r="D84" s="15" t="s">
        <v>130</v>
      </c>
      <c r="E84" s="15" t="s">
        <v>119</v>
      </c>
      <c r="F84" s="33">
        <v>11.092000000000001</v>
      </c>
      <c r="G84" s="33">
        <v>11.03</v>
      </c>
      <c r="H84" s="33">
        <v>2.0089999999999999</v>
      </c>
      <c r="I84" s="33">
        <v>0.36799999999999999</v>
      </c>
      <c r="J84" s="33">
        <v>-8.8999999999999996E-2</v>
      </c>
      <c r="K84" s="9">
        <v>12.93848</v>
      </c>
      <c r="L84" s="9">
        <v>13.533329999999999</v>
      </c>
      <c r="M84" s="9">
        <v>14.86117</v>
      </c>
      <c r="N84" s="34">
        <v>0</v>
      </c>
      <c r="O84" s="33">
        <v>-0.16600000000000001</v>
      </c>
      <c r="P84" s="35">
        <v>1.36</v>
      </c>
      <c r="Q84" s="33">
        <v>0.67300000000000004</v>
      </c>
      <c r="R84" s="33">
        <v>0.33800000000000002</v>
      </c>
      <c r="S84" s="33">
        <v>1.601</v>
      </c>
      <c r="T84" s="35">
        <v>2.1880000000000002</v>
      </c>
      <c r="U84" s="33">
        <v>3.3479999999999999</v>
      </c>
    </row>
    <row r="85" spans="1:21" ht="15" x14ac:dyDescent="0.25">
      <c r="A85" s="14">
        <v>84</v>
      </c>
      <c r="B85" s="14">
        <v>9415144</v>
      </c>
      <c r="C85" s="15" t="s">
        <v>133</v>
      </c>
      <c r="D85" s="15" t="s">
        <v>130</v>
      </c>
      <c r="E85" s="15" t="s">
        <v>134</v>
      </c>
      <c r="F85" s="33">
        <v>16.068999999999999</v>
      </c>
      <c r="G85" s="33">
        <v>16.657</v>
      </c>
      <c r="H85" s="33">
        <v>17.603999999999999</v>
      </c>
      <c r="I85" s="33">
        <v>-0.27800000000000002</v>
      </c>
      <c r="J85" s="33">
        <v>-1.2430000000000001</v>
      </c>
      <c r="K85" s="9">
        <v>21.120830000000002</v>
      </c>
      <c r="L85" s="9">
        <v>21.545470000000002</v>
      </c>
      <c r="M85" s="9">
        <v>22.370830000000002</v>
      </c>
      <c r="N85" s="34">
        <v>0</v>
      </c>
      <c r="O85" s="33">
        <v>3.0000000000000001E-3</v>
      </c>
      <c r="P85" s="35">
        <v>1.0740000000000001</v>
      </c>
      <c r="Q85" s="33">
        <v>1.9E-2</v>
      </c>
      <c r="R85" s="33">
        <v>0.26400000000000001</v>
      </c>
      <c r="S85" s="33">
        <v>1.3089999999999999</v>
      </c>
      <c r="T85" s="35">
        <v>1.6739999999999999</v>
      </c>
      <c r="U85" s="33">
        <v>2.5190000000000001</v>
      </c>
    </row>
    <row r="86" spans="1:21" ht="15" x14ac:dyDescent="0.25">
      <c r="A86" s="14">
        <v>85</v>
      </c>
      <c r="B86" s="14">
        <v>9414863</v>
      </c>
      <c r="C86" s="15" t="s">
        <v>135</v>
      </c>
      <c r="D86" s="15" t="s">
        <v>130</v>
      </c>
      <c r="E86" s="15" t="s">
        <v>134</v>
      </c>
      <c r="F86" s="33">
        <v>14.973000000000001</v>
      </c>
      <c r="G86" s="33">
        <v>15.029</v>
      </c>
      <c r="H86" s="33">
        <v>7.1479999999999997</v>
      </c>
      <c r="I86" s="33">
        <v>3.2000000000000001E-2</v>
      </c>
      <c r="J86" s="33">
        <v>-0.86499999999999999</v>
      </c>
      <c r="K86" s="9">
        <v>18.23292</v>
      </c>
      <c r="L86" s="9">
        <v>18.95833</v>
      </c>
      <c r="M86" s="9">
        <v>20.47</v>
      </c>
      <c r="N86" s="34">
        <v>-1E-3</v>
      </c>
      <c r="O86" s="33">
        <v>-0.125</v>
      </c>
      <c r="P86" s="35">
        <v>1.1439999999999999</v>
      </c>
      <c r="Q86" s="33">
        <v>1.1779999999999999</v>
      </c>
      <c r="R86" s="33">
        <v>3.077</v>
      </c>
      <c r="S86" s="33">
        <v>1.1830000000000001</v>
      </c>
      <c r="T86" s="35">
        <v>1.7809999999999999</v>
      </c>
      <c r="U86" s="33">
        <v>4.1360000000000001</v>
      </c>
    </row>
    <row r="87" spans="1:21" ht="15" x14ac:dyDescent="0.25">
      <c r="A87" s="14">
        <v>86</v>
      </c>
      <c r="B87" s="14">
        <v>9414750</v>
      </c>
      <c r="C87" s="15" t="s">
        <v>136</v>
      </c>
      <c r="D87" s="15" t="s">
        <v>130</v>
      </c>
      <c r="E87" s="15" t="s">
        <v>134</v>
      </c>
      <c r="F87" s="33">
        <v>16.14</v>
      </c>
      <c r="G87" s="33">
        <v>16.428000000000001</v>
      </c>
      <c r="H87" s="33">
        <v>11.596</v>
      </c>
      <c r="I87" s="33">
        <v>-0.182</v>
      </c>
      <c r="J87" s="33">
        <v>-1.2350000000000001</v>
      </c>
      <c r="K87" s="9">
        <v>20.36232</v>
      </c>
      <c r="L87" s="9">
        <v>20.883330000000001</v>
      </c>
      <c r="M87" s="9">
        <v>21.688880000000001</v>
      </c>
      <c r="N87" s="34">
        <v>-2E-3</v>
      </c>
      <c r="O87" s="33">
        <v>-2.5000000000000001E-2</v>
      </c>
      <c r="P87" s="35">
        <v>1.028</v>
      </c>
      <c r="Q87" s="33">
        <v>0.217</v>
      </c>
      <c r="R87" s="33">
        <v>0.622</v>
      </c>
      <c r="S87" s="33">
        <v>1.2629999999999999</v>
      </c>
      <c r="T87" s="35">
        <v>1.6739999999999999</v>
      </c>
      <c r="U87" s="33">
        <v>2.573</v>
      </c>
    </row>
    <row r="88" spans="1:21" ht="15" x14ac:dyDescent="0.25">
      <c r="A88" s="14">
        <v>87</v>
      </c>
      <c r="B88" s="14">
        <v>9414290</v>
      </c>
      <c r="C88" s="15" t="s">
        <v>137</v>
      </c>
      <c r="D88" s="15" t="s">
        <v>130</v>
      </c>
      <c r="E88" s="15" t="s">
        <v>134</v>
      </c>
      <c r="F88" s="33">
        <v>13.82</v>
      </c>
      <c r="G88" s="33">
        <v>13.692</v>
      </c>
      <c r="H88" s="33">
        <v>3.9140000000000001</v>
      </c>
      <c r="I88" s="33">
        <v>0.23899999999999999</v>
      </c>
      <c r="J88" s="33">
        <v>-0.64</v>
      </c>
      <c r="K88" s="9">
        <v>16.445830000000001</v>
      </c>
      <c r="L88" s="9">
        <v>17.225000000000001</v>
      </c>
      <c r="M88" s="9">
        <v>18.462499999999999</v>
      </c>
      <c r="N88" s="34">
        <v>0</v>
      </c>
      <c r="O88" s="33">
        <v>-6.4000000000000001E-2</v>
      </c>
      <c r="P88" s="35">
        <v>1.0529999999999999</v>
      </c>
      <c r="Q88" s="33">
        <v>0.44900000000000001</v>
      </c>
      <c r="R88" s="33">
        <v>-0.20899999999999999</v>
      </c>
      <c r="S88" s="33">
        <v>1.4359999999999999</v>
      </c>
      <c r="T88" s="35">
        <v>1.954</v>
      </c>
      <c r="U88" s="33">
        <v>2.548</v>
      </c>
    </row>
    <row r="89" spans="1:21" ht="15" x14ac:dyDescent="0.25">
      <c r="A89" s="14">
        <v>88</v>
      </c>
      <c r="B89" s="14">
        <v>9412110</v>
      </c>
      <c r="C89" s="15" t="s">
        <v>138</v>
      </c>
      <c r="D89" s="15" t="s">
        <v>130</v>
      </c>
      <c r="E89" s="15" t="s">
        <v>134</v>
      </c>
      <c r="F89" s="33">
        <v>13.868</v>
      </c>
      <c r="G89" s="33">
        <v>13.766999999999999</v>
      </c>
      <c r="H89" s="33">
        <v>3.24</v>
      </c>
      <c r="I89" s="33">
        <v>0.43</v>
      </c>
      <c r="J89" s="33">
        <v>0.224</v>
      </c>
      <c r="K89" s="9">
        <v>16.137499999999999</v>
      </c>
      <c r="L89" s="9">
        <v>16.92708</v>
      </c>
      <c r="M89" s="9">
        <v>19.008330000000001</v>
      </c>
      <c r="N89" s="34">
        <v>0</v>
      </c>
      <c r="O89" s="33">
        <v>-0.10100000000000001</v>
      </c>
      <c r="P89" s="35">
        <v>1.915</v>
      </c>
      <c r="Q89" s="33">
        <v>0.69399999999999995</v>
      </c>
      <c r="R89" s="33">
        <v>0.94399999999999995</v>
      </c>
      <c r="S89" s="33">
        <v>1.7230000000000001</v>
      </c>
      <c r="T89" s="35">
        <v>2.4969999999999999</v>
      </c>
      <c r="U89" s="33">
        <v>4.2290000000000001</v>
      </c>
    </row>
    <row r="90" spans="1:21" ht="15" x14ac:dyDescent="0.25">
      <c r="A90" s="14">
        <v>89</v>
      </c>
      <c r="B90" s="14">
        <v>9410660</v>
      </c>
      <c r="C90" s="15" t="s">
        <v>139</v>
      </c>
      <c r="D90" s="15" t="s">
        <v>130</v>
      </c>
      <c r="E90" s="15" t="s">
        <v>134</v>
      </c>
      <c r="F90" s="33">
        <v>16.536000000000001</v>
      </c>
      <c r="G90" s="33">
        <v>16.440000000000001</v>
      </c>
      <c r="H90" s="33">
        <v>4.7859999999999996</v>
      </c>
      <c r="I90" s="33">
        <v>0.129</v>
      </c>
      <c r="J90" s="33">
        <v>5.8999999999999997E-2</v>
      </c>
      <c r="K90" s="9">
        <v>19.399999999999999</v>
      </c>
      <c r="L90" s="9">
        <v>20.254169999999998</v>
      </c>
      <c r="M90" s="9">
        <v>21.921869999999998</v>
      </c>
      <c r="N90" s="34">
        <v>0</v>
      </c>
      <c r="O90" s="33">
        <v>4.7E-2</v>
      </c>
      <c r="P90" s="35">
        <v>2.8570000000000002</v>
      </c>
      <c r="Q90" s="33">
        <v>-0.26300000000000001</v>
      </c>
      <c r="R90" s="33">
        <v>0.30199999999999999</v>
      </c>
      <c r="S90" s="33">
        <v>2.085</v>
      </c>
      <c r="T90" s="35">
        <v>2.6240000000000001</v>
      </c>
      <c r="U90" s="33">
        <v>3.9470000000000001</v>
      </c>
    </row>
    <row r="91" spans="1:21" ht="15" x14ac:dyDescent="0.25">
      <c r="A91" s="14">
        <v>90</v>
      </c>
      <c r="B91" s="14">
        <v>9410230</v>
      </c>
      <c r="C91" s="15" t="s">
        <v>140</v>
      </c>
      <c r="D91" s="15" t="s">
        <v>130</v>
      </c>
      <c r="E91" s="15" t="s">
        <v>134</v>
      </c>
      <c r="F91" s="33">
        <v>17.515999999999998</v>
      </c>
      <c r="G91" s="33">
        <v>17.221</v>
      </c>
      <c r="H91" s="33">
        <v>6.0179999999999998</v>
      </c>
      <c r="I91" s="33">
        <v>0.44400000000000001</v>
      </c>
      <c r="J91" s="33">
        <v>-0.52500000000000002</v>
      </c>
      <c r="K91" s="9">
        <v>21.029579999999999</v>
      </c>
      <c r="L91" s="9">
        <v>21.875</v>
      </c>
      <c r="M91" s="9">
        <v>23.27262</v>
      </c>
      <c r="N91" s="34">
        <v>-2E-3</v>
      </c>
      <c r="O91" s="33">
        <v>-5.6000000000000001E-2</v>
      </c>
      <c r="P91" s="35">
        <v>2.1850000000000001</v>
      </c>
      <c r="Q91" s="33">
        <v>4.3999999999999997E-2</v>
      </c>
      <c r="R91" s="33">
        <v>1.22</v>
      </c>
      <c r="S91" s="33">
        <v>1.895</v>
      </c>
      <c r="T91" s="35">
        <v>2.5059999999999998</v>
      </c>
      <c r="U91" s="33">
        <v>3.7669999999999999</v>
      </c>
    </row>
    <row r="92" spans="1:21" ht="15" x14ac:dyDescent="0.25">
      <c r="A92" s="14">
        <v>91</v>
      </c>
      <c r="B92" s="14">
        <v>1617433</v>
      </c>
      <c r="C92" s="15" t="s">
        <v>141</v>
      </c>
      <c r="D92" s="15" t="s">
        <v>142</v>
      </c>
      <c r="E92" s="15" t="s">
        <v>143</v>
      </c>
      <c r="F92" s="33">
        <v>26.655999999999999</v>
      </c>
      <c r="G92" s="33">
        <v>26.683</v>
      </c>
      <c r="H92" s="33">
        <v>1.5840000000000001</v>
      </c>
      <c r="I92" s="33">
        <v>-8.9999999999999993E-3</v>
      </c>
      <c r="J92" s="33">
        <v>-0.55600000000000005</v>
      </c>
      <c r="K92" s="9">
        <v>28.25</v>
      </c>
      <c r="L92" s="9">
        <v>28.66667</v>
      </c>
      <c r="M92" s="9">
        <v>29.375</v>
      </c>
      <c r="N92" s="34">
        <v>0</v>
      </c>
      <c r="O92" s="33">
        <v>1.7999999999999999E-2</v>
      </c>
      <c r="P92" s="35">
        <v>0.60499999999999998</v>
      </c>
      <c r="Q92" s="33">
        <v>0.23599999999999999</v>
      </c>
      <c r="R92" s="33">
        <v>1.075</v>
      </c>
      <c r="S92" s="33">
        <v>0.90400000000000003</v>
      </c>
      <c r="T92" s="35">
        <v>1.254</v>
      </c>
      <c r="U92" s="33">
        <v>2.2389999999999999</v>
      </c>
    </row>
    <row r="93" spans="1:21" ht="15" x14ac:dyDescent="0.25">
      <c r="A93" s="14">
        <v>92</v>
      </c>
      <c r="B93" s="14">
        <v>1615680</v>
      </c>
      <c r="C93" s="15" t="s">
        <v>144</v>
      </c>
      <c r="D93" s="15" t="s">
        <v>142</v>
      </c>
      <c r="E93" s="15" t="s">
        <v>143</v>
      </c>
      <c r="F93" s="33">
        <v>25.567</v>
      </c>
      <c r="G93" s="33">
        <v>25.587</v>
      </c>
      <c r="H93" s="33">
        <v>1.7629999999999999</v>
      </c>
      <c r="I93" s="33">
        <v>5.7000000000000002E-2</v>
      </c>
      <c r="J93" s="33">
        <v>-0.36599999999999999</v>
      </c>
      <c r="K93" s="9">
        <v>27.274999999999999</v>
      </c>
      <c r="L93" s="9">
        <v>27.658329999999999</v>
      </c>
      <c r="M93" s="9">
        <v>28.79813</v>
      </c>
      <c r="N93" s="34">
        <v>2E-3</v>
      </c>
      <c r="O93" s="33">
        <v>-1.2999999999999999E-2</v>
      </c>
      <c r="P93" s="35">
        <v>0.67900000000000005</v>
      </c>
      <c r="Q93" s="33">
        <v>0.26</v>
      </c>
      <c r="R93" s="33">
        <v>0.51200000000000001</v>
      </c>
      <c r="S93" s="33">
        <v>1.002</v>
      </c>
      <c r="T93" s="35">
        <v>1.321</v>
      </c>
      <c r="U93" s="33">
        <v>2.262</v>
      </c>
    </row>
    <row r="94" spans="1:21" ht="15" x14ac:dyDescent="0.25">
      <c r="A94" s="14">
        <v>93</v>
      </c>
      <c r="B94" s="14">
        <v>1612480</v>
      </c>
      <c r="C94" s="15" t="s">
        <v>145</v>
      </c>
      <c r="D94" s="15" t="s">
        <v>142</v>
      </c>
      <c r="E94" s="15" t="s">
        <v>143</v>
      </c>
      <c r="F94" s="33">
        <v>25.469000000000001</v>
      </c>
      <c r="G94" s="33">
        <v>25.638000000000002</v>
      </c>
      <c r="H94" s="33">
        <v>4.4039999999999999</v>
      </c>
      <c r="I94" s="33">
        <v>-0.57899999999999996</v>
      </c>
      <c r="J94" s="33">
        <v>6.0000000000000001E-3</v>
      </c>
      <c r="K94" s="9">
        <v>27.933330000000002</v>
      </c>
      <c r="L94" s="9">
        <v>28.308330000000002</v>
      </c>
      <c r="M94" s="9">
        <v>29.04167</v>
      </c>
      <c r="N94" s="34">
        <v>2E-3</v>
      </c>
      <c r="O94" s="33">
        <v>0.33800000000000002</v>
      </c>
      <c r="P94" s="35">
        <v>2.4609999999999999</v>
      </c>
      <c r="Q94" s="33">
        <v>-1.4590000000000001</v>
      </c>
      <c r="R94" s="33">
        <v>2.177</v>
      </c>
      <c r="S94" s="33">
        <v>1.542</v>
      </c>
      <c r="T94" s="35">
        <v>1.8520000000000001</v>
      </c>
      <c r="U94" s="33">
        <v>2.4209999999999998</v>
      </c>
    </row>
    <row r="95" spans="1:21" ht="15" x14ac:dyDescent="0.25">
      <c r="A95" s="14">
        <v>94</v>
      </c>
      <c r="B95" s="14">
        <v>1619910</v>
      </c>
      <c r="C95" s="15" t="s">
        <v>146</v>
      </c>
      <c r="D95" s="15" t="s">
        <v>147</v>
      </c>
      <c r="E95" s="15" t="s">
        <v>143</v>
      </c>
      <c r="F95" s="33">
        <v>23.742999999999999</v>
      </c>
      <c r="G95" s="33">
        <v>23.5</v>
      </c>
      <c r="H95" s="33">
        <v>8.2680000000000007</v>
      </c>
      <c r="I95" s="33">
        <v>-2.7E-2</v>
      </c>
      <c r="J95" s="33">
        <v>-1.139</v>
      </c>
      <c r="K95" s="9">
        <v>27.508330000000001</v>
      </c>
      <c r="L95" s="9">
        <v>27.96594</v>
      </c>
      <c r="M95" s="9">
        <v>28.741250000000001</v>
      </c>
      <c r="N95" s="34">
        <v>-2E-3</v>
      </c>
      <c r="O95" s="33">
        <v>2.1000000000000001E-2</v>
      </c>
      <c r="P95" s="35">
        <v>1.1080000000000001</v>
      </c>
      <c r="Q95" s="33">
        <v>-7.0000000000000007E-2</v>
      </c>
      <c r="R95" s="33">
        <v>0.60399999999999998</v>
      </c>
      <c r="S95" s="33">
        <v>1.3009999999999999</v>
      </c>
      <c r="T95" s="35">
        <v>1.653</v>
      </c>
      <c r="U95" s="33">
        <v>2.46</v>
      </c>
    </row>
    <row r="96" spans="1:21" ht="15" x14ac:dyDescent="0.25">
      <c r="A96" s="14">
        <v>95</v>
      </c>
      <c r="B96" s="14">
        <v>1890000</v>
      </c>
      <c r="C96" s="15" t="s">
        <v>148</v>
      </c>
      <c r="D96" s="15" t="s">
        <v>149</v>
      </c>
      <c r="E96" s="15" t="s">
        <v>143</v>
      </c>
      <c r="F96" s="33">
        <v>28.207999999999998</v>
      </c>
      <c r="G96" s="33">
        <v>28.254000000000001</v>
      </c>
      <c r="H96" s="33">
        <v>2.56</v>
      </c>
      <c r="I96" s="33">
        <v>-8.9999999999999993E-3</v>
      </c>
      <c r="J96" s="33">
        <v>-0.154</v>
      </c>
      <c r="K96" s="9">
        <v>30.162500000000001</v>
      </c>
      <c r="L96" s="9">
        <v>30.64583</v>
      </c>
      <c r="M96" s="9">
        <v>31.937000000000001</v>
      </c>
      <c r="N96" s="34">
        <v>-4.0000000000000001E-3</v>
      </c>
      <c r="O96" s="33">
        <v>-1.7999999999999999E-2</v>
      </c>
      <c r="P96" s="35">
        <v>0.89600000000000002</v>
      </c>
      <c r="Q96" s="33">
        <v>0.33100000000000002</v>
      </c>
      <c r="R96" s="33">
        <v>1.415</v>
      </c>
      <c r="S96" s="33">
        <v>1.05</v>
      </c>
      <c r="T96" s="35">
        <v>1.575</v>
      </c>
      <c r="U96" s="33">
        <v>2.8759999999999999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22"/>
  <sheetViews>
    <sheetView workbookViewId="0"/>
  </sheetViews>
  <sheetFormatPr defaultColWidth="12.5703125" defaultRowHeight="15.75" customHeight="1" x14ac:dyDescent="0.2"/>
  <sheetData>
    <row r="1" spans="1:2" ht="15.75" customHeight="1" x14ac:dyDescent="0.25">
      <c r="A1" s="18" t="s">
        <v>150</v>
      </c>
      <c r="B1" s="18" t="s">
        <v>151</v>
      </c>
    </row>
    <row r="2" spans="1:2" ht="15.75" customHeight="1" x14ac:dyDescent="0.25">
      <c r="A2" s="19" t="s">
        <v>0</v>
      </c>
      <c r="B2" s="17" t="s">
        <v>152</v>
      </c>
    </row>
    <row r="3" spans="1:2" ht="15.75" customHeight="1" x14ac:dyDescent="0.25">
      <c r="A3" s="19" t="s">
        <v>1</v>
      </c>
      <c r="B3" s="17" t="s">
        <v>153</v>
      </c>
    </row>
    <row r="4" spans="1:2" ht="15.75" customHeight="1" x14ac:dyDescent="0.25">
      <c r="A4" s="19" t="s">
        <v>2</v>
      </c>
      <c r="B4" s="17" t="s">
        <v>154</v>
      </c>
    </row>
    <row r="5" spans="1:2" ht="15.75" customHeight="1" x14ac:dyDescent="0.25">
      <c r="A5" s="19" t="s">
        <v>3</v>
      </c>
      <c r="B5" s="17" t="s">
        <v>155</v>
      </c>
    </row>
    <row r="6" spans="1:2" ht="15.75" customHeight="1" x14ac:dyDescent="0.25">
      <c r="A6" s="19" t="s">
        <v>8</v>
      </c>
      <c r="B6" s="17" t="s">
        <v>160</v>
      </c>
    </row>
    <row r="7" spans="1:2" ht="15.75" customHeight="1" x14ac:dyDescent="0.25">
      <c r="A7" s="36" t="s">
        <v>241</v>
      </c>
      <c r="B7" s="19" t="s">
        <v>257</v>
      </c>
    </row>
    <row r="8" spans="1:2" ht="15.75" customHeight="1" x14ac:dyDescent="0.25">
      <c r="A8" s="36" t="s">
        <v>242</v>
      </c>
      <c r="B8" s="19" t="s">
        <v>258</v>
      </c>
    </row>
    <row r="9" spans="1:2" ht="15.75" customHeight="1" x14ac:dyDescent="0.25">
      <c r="A9" s="36" t="s">
        <v>243</v>
      </c>
      <c r="B9" s="19" t="s">
        <v>259</v>
      </c>
    </row>
    <row r="10" spans="1:2" ht="15.75" customHeight="1" x14ac:dyDescent="0.25">
      <c r="A10" s="36" t="s">
        <v>244</v>
      </c>
      <c r="B10" s="19" t="s">
        <v>260</v>
      </c>
    </row>
    <row r="11" spans="1:2" ht="15.75" customHeight="1" x14ac:dyDescent="0.25">
      <c r="A11" s="36" t="s">
        <v>245</v>
      </c>
      <c r="B11" s="19" t="s">
        <v>261</v>
      </c>
    </row>
    <row r="12" spans="1:2" ht="15.75" customHeight="1" x14ac:dyDescent="0.25">
      <c r="A12" s="21" t="s">
        <v>246</v>
      </c>
      <c r="B12" s="19" t="s">
        <v>262</v>
      </c>
    </row>
    <row r="13" spans="1:2" ht="15.75" customHeight="1" x14ac:dyDescent="0.25">
      <c r="A13" s="21" t="s">
        <v>247</v>
      </c>
      <c r="B13" s="19" t="s">
        <v>263</v>
      </c>
    </row>
    <row r="14" spans="1:2" ht="15.75" customHeight="1" x14ac:dyDescent="0.25">
      <c r="A14" s="21" t="s">
        <v>248</v>
      </c>
      <c r="B14" s="19" t="s">
        <v>264</v>
      </c>
    </row>
    <row r="15" spans="1:2" ht="15.75" customHeight="1" x14ac:dyDescent="0.25">
      <c r="A15" s="37" t="s">
        <v>249</v>
      </c>
      <c r="B15" s="19" t="s">
        <v>265</v>
      </c>
    </row>
    <row r="16" spans="1:2" ht="15.75" customHeight="1" x14ac:dyDescent="0.25">
      <c r="A16" s="36" t="s">
        <v>250</v>
      </c>
      <c r="B16" s="19" t="s">
        <v>266</v>
      </c>
    </row>
    <row r="17" spans="1:2" ht="15.75" customHeight="1" x14ac:dyDescent="0.25">
      <c r="A17" s="38" t="s">
        <v>251</v>
      </c>
      <c r="B17" s="19" t="s">
        <v>267</v>
      </c>
    </row>
    <row r="18" spans="1:2" ht="15.75" customHeight="1" x14ac:dyDescent="0.25">
      <c r="A18" s="36" t="s">
        <v>252</v>
      </c>
      <c r="B18" s="19" t="s">
        <v>268</v>
      </c>
    </row>
    <row r="19" spans="1:2" ht="15.75" customHeight="1" x14ac:dyDescent="0.25">
      <c r="A19" s="36" t="s">
        <v>253</v>
      </c>
      <c r="B19" s="19" t="s">
        <v>269</v>
      </c>
    </row>
    <row r="20" spans="1:2" ht="15.75" customHeight="1" x14ac:dyDescent="0.25">
      <c r="A20" s="36" t="s">
        <v>254</v>
      </c>
      <c r="B20" s="19" t="s">
        <v>270</v>
      </c>
    </row>
    <row r="21" spans="1:2" ht="15.75" customHeight="1" x14ac:dyDescent="0.25">
      <c r="A21" s="38" t="s">
        <v>255</v>
      </c>
      <c r="B21" s="19" t="s">
        <v>271</v>
      </c>
    </row>
    <row r="22" spans="1:2" ht="15.75" customHeight="1" x14ac:dyDescent="0.25">
      <c r="A22" s="36" t="s">
        <v>256</v>
      </c>
      <c r="B22" s="19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Station inventory</vt:lpstr>
      <vt:lpstr>Inventory metadata</vt:lpstr>
      <vt:lpstr>Seasonality</vt:lpstr>
      <vt:lpstr>Seasonality metadata</vt:lpstr>
      <vt:lpstr>Trends</vt:lpstr>
      <vt:lpstr>Trends metadata</vt:lpstr>
      <vt:lpstr>Daily distribution and extremes</vt:lpstr>
      <vt:lpstr>Distributions and extremes 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Bailey Armos</cp:lastModifiedBy>
  <dcterms:modified xsi:type="dcterms:W3CDTF">2026-04-30T13:24:16Z</dcterms:modified>
</cp:coreProperties>
</file>